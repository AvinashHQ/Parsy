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6274f8b5c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56b361ee294959"/>
    <x:sheet xmlns:r="http://schemas.openxmlformats.org/officeDocument/2006/relationships" name="Milestone Status" sheetId="2" r:id="R5139462c46c14f1f"/>
    <x:sheet xmlns:r="http://schemas.openxmlformats.org/officeDocument/2006/relationships" name="Remaining Issues" sheetId="3" r:id="Rad94f12108c74a26"/>
    <x:sheet xmlns:r="http://schemas.openxmlformats.org/officeDocument/2006/relationships" name="Fixture Manifest" sheetId="4" r:id="R74af8dd3f57c4713"/>
    <x:sheet xmlns:r="http://schemas.openxmlformats.org/officeDocument/2006/relationships" name="Model Benchmark" sheetId="5" r:id="R7866c713660b4395"/>
    <x:sheet xmlns:r="http://schemas.openxmlformats.org/officeDocument/2006/relationships" name="Acceptance Gates" sheetId="6" r:id="R5cbfac1288b1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2856A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c94966092494b" /><Relationship Type="http://schemas.openxmlformats.org/officeDocument/2006/relationships/theme" Target="/xl/theme/theme1.xml" Id="Rdcfdcaab142b4009" /><Relationship Type="http://schemas.openxmlformats.org/officeDocument/2006/relationships/sharedStrings" Target="/xl/sharedStrings.xml" Id="R0593735ced5e44e1" /><Relationship Type="http://schemas.openxmlformats.org/officeDocument/2006/relationships/worksheet" Target="/xl/worksheets/sheet1.xml" Id="Rc756b361ee294959" /><Relationship Type="http://schemas.openxmlformats.org/officeDocument/2006/relationships/worksheet" Target="/xl/worksheets/sheet2.xml" Id="R5139462c46c14f1f" /><Relationship Type="http://schemas.openxmlformats.org/officeDocument/2006/relationships/worksheet" Target="/xl/worksheets/sheet3.xml" Id="Rad94f12108c74a26" /><Relationship Type="http://schemas.openxmlformats.org/officeDocument/2006/relationships/worksheet" Target="/xl/worksheets/sheet4.xml" Id="R74af8dd3f57c4713" /><Relationship Type="http://schemas.openxmlformats.org/officeDocument/2006/relationships/worksheet" Target="/xl/worksheets/sheet5.xml" Id="R7866c713660b4395" /><Relationship Type="http://schemas.openxmlformats.org/officeDocument/2006/relationships/worksheet" Target="/xl/worksheets/sheet6.xml" Id="R5cbfac1288b14029" /></Relationships>
</file>

<file path=xl/tables/table1.xml><?xml version="1.0" encoding="utf-8"?>
<x:table xmlns:x="http://schemas.openxmlformats.org/spreadsheetml/2006/main" id="1" name="MilestoneStatusTable" displayName="MilestoneStatusTable" ref="A1:D9" headerRowCount="1">
  <x:tableColumns count="4">
    <x:tableColumn id="1" name="Milestone"/>
    <x:tableColumn id="2" name="Status"/>
    <x:tableColumn id="3" name="Status Basis"/>
    <x:tableColumn id="4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RemainingIssuesTable" displayName="RemainingIssuesTable" ref="A1:K33" headerRowCount="1">
  <x:tableColumns count="11">
    <x:tableColumn id="1" name="Milestone"/>
    <x:tableColumn id="2" name="Issue ID"/>
    <x:tableColumn id="3" name="Title"/>
    <x:tableColumn id="4" name="Priority"/>
    <x:tableColumn id="5" name="Owner Role"/>
    <x:tableColumn id="6" name="Primary Docs"/>
    <x:tableColumn id="7" name="Acceptance Criteria"/>
    <x:tableColumn id="8" name="Dependencies"/>
    <x:tableColumn id="9" name="Status"/>
    <x:tableColumn id="10" name="Next Evidenc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FixtureManifestTable" displayName="FixtureManifestTable" ref="A1:N30" headerRowCount="1">
  <x:tableColumns count="14">
    <x:tableColumn id="1" name="Fixture ID"/>
    <x:tableColumn id="2" name="File"/>
    <x:tableColumn id="3" name="Kind"/>
    <x:tableColumn id="4" name="Split"/>
    <x:tableColumn id="5" name="Document Type"/>
    <x:tableColumn id="6" name="Currency"/>
    <x:tableColumn id="7" name="Country"/>
    <x:tableColumn id="8" name="Expected Route"/>
    <x:tableColumn id="9" name="Expected Status"/>
    <x:tableColumn id="10" name="Ground Truth"/>
    <x:tableColumn id="11" name="Expected Findings"/>
    <x:tableColumn id="12" name="Notes"/>
    <x:tableColumn id="13" name="SHA-256"/>
    <x:tableColumn id="14" name="Has Ground Tru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0bd0e93a2748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f6d269c6e54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32408864d14d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  <x:col min="4" max="4" width="16" hidden="0" customWidth="1"/>
    <x:col min="5" max="5" width="4" hidden="0" customWidth="1"/>
    <x:col min="6" max="6" width="30" hidden="0" customWidth="1"/>
    <x:col min="7" max="7" width="14" hidden="0" customWidth="1"/>
    <x:col min="8" max="8" width="4" hidden="0" customWidth="1"/>
  </x:cols>
  <x:sheetData>
    <x:row r="1">
      <x:c r="A1" s="24" t="str">
        <x:v>Invoice Parser — Corrected Post-M2.5 Dashboard</x:v>
      </x:c>
      <x:c r="B1" s="24"/>
      <x:c r="C1" s="24"/>
      <x:c r="D1" s="24"/>
      <x:c r="E1" s="24"/>
      <x:c r="F1" s="24"/>
      <x:c r="G1" s="24"/>
      <x:c r="H1" s="24"/>
    </x:row>
    <x:row r="2">
      <x:c r="A2" s="10" t="str">
        <x:v>M0-M2 are complete and frozen. All newly selected open-source model/parser integration is M2.5. M3 fixture-driven UI work may overlap, but real M3 end-to-end completion requires M2.5.</x:v>
      </x:c>
      <x:c r="B2" s="10"/>
      <x:c r="C2" s="10"/>
      <x:c r="D2" s="10"/>
      <x:c r="E2" s="10"/>
      <x:c r="F2" s="10"/>
      <x:c r="G2" s="10"/>
      <x:c r="H2" s="10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8" t="str">
        <x:v>Milestone</x:v>
      </x:c>
      <x:c r="B4" s="18" t="str">
        <x:v>Status</x:v>
      </x:c>
      <x:c r="C4" s="18" t="str">
        <x:v>Next action</x:v>
      </x:c>
      <x:c r="D4" s="18" t="str">
        <x:v>Launch blocker</x:v>
      </x:c>
      <x:c r="E4" s="25"/>
      <x:c r="F4" s="18" t="str">
        <x:v>Metric</x:v>
      </x:c>
      <x:c r="G4" s="18" t="str">
        <x:v>Value</x:v>
      </x:c>
      <x:c r="H4" s="25"/>
    </x:row>
    <x:row r="5">
      <x:c r="A5" s="25" t="str">
        <x:v>M0</x:v>
      </x:c>
      <x:c r="B5" s="25" t="str">
        <x:v>COMPLETE</x:v>
      </x:c>
      <x:c r="C5" s="25" t="str">
        <x:v>Maintain frozen pilot profile</x:v>
      </x:c>
      <x:c r="D5" s="25" t="str">
        <x:v>NO</x:v>
      </x:c>
      <x:c r="E5" s="25"/>
      <x:c r="F5" s="25" t="str">
        <x:v>Remaining M2.5-M5 issues</x:v>
      </x:c>
      <x:c r="G5" s="25" t="n">
        <x:f>COUNTA('Remaining Issues'!B2:B200)</x:f>
        <x:v>32</x:v>
      </x:c>
      <x:c r="H5" s="25"/>
    </x:row>
    <x:row r="6">
      <x:c r="A6" s="25" t="str">
        <x:v>M1</x:v>
      </x:c>
      <x:c r="B6" s="25" t="str">
        <x:v>COMPLETE</x:v>
      </x:c>
      <x:c r="C6" s="25" t="str">
        <x:v>Run contract regression on every change</x:v>
      </x:c>
      <x:c r="D6" s="25" t="str">
        <x:v>NO</x:v>
      </x:c>
      <x:c r="E6" s="25"/>
      <x:c r="F6" s="25" t="str">
        <x:v>M2.5 issues</x:v>
      </x:c>
      <x:c r="G6" s="25" t="n">
        <x:f>COUNTIF('Remaining Issues'!A2:A200,"M2.5")</x:f>
        <x:v>8</x:v>
      </x:c>
      <x:c r="H6" s="25"/>
    </x:row>
    <x:row r="7">
      <x:c r="A7" s="25" t="str">
        <x:v>M2</x:v>
      </x:c>
      <x:c r="B7" s="25" t="str">
        <x:v>COMPLETE_FROZEN</x:v>
      </x:c>
      <x:c r="C7" s="25" t="str">
        <x:v>Maintain M2 provider contract and evidence links</x:v>
      </x:c>
      <x:c r="D7" s="25" t="str">
        <x:v>NO</x:v>
      </x:c>
      <x:c r="E7" s="25"/>
      <x:c r="F7" s="25" t="str">
        <x:v>M3 issues</x:v>
      </x:c>
      <x:c r="G7" s="25" t="n">
        <x:f>COUNTIF('Remaining Issues'!A2:A200,"M3")</x:f>
        <x:v>8</x:v>
      </x:c>
      <x:c r="H7" s="25"/>
    </x:row>
    <x:row r="8">
      <x:c r="A8" s="25" t="str">
        <x:v>M2.5</x:v>
      </x:c>
      <x:c r="B8" s="25" t="str">
        <x:v>NEXT</x:v>
      </x:c>
      <x:c r="C8" s="25" t="str">
        <x:v>Snapshot M2 contract and add provider feature flags</x:v>
      </x:c>
      <x:c r="D8" s="25" t="str">
        <x:v>YES</x:v>
      </x:c>
      <x:c r="E8" s="25"/>
      <x:c r="F8" s="25" t="str">
        <x:v>M4 issues</x:v>
      </x:c>
      <x:c r="G8" s="25" t="n">
        <x:f>COUNTIF('Remaining Issues'!A2:A200,"M4")</x:f>
        <x:v>9</x:v>
      </x:c>
      <x:c r="H8" s="25"/>
    </x:row>
    <x:row r="9">
      <x:c r="A9" s="25" t="str">
        <x:v>M3</x:v>
      </x:c>
      <x:c r="B9" s="25" t="str">
        <x:v>PLANNED_PARALLEL</x:v>
      </x:c>
      <x:c r="C9" s="25" t="str">
        <x:v>Build first review slice with fixture provider</x:v>
      </x:c>
      <x:c r="D9" s="25" t="str">
        <x:v>YES</x:v>
      </x:c>
      <x:c r="E9" s="25"/>
      <x:c r="F9" s="25" t="str">
        <x:v>M5 issues</x:v>
      </x:c>
      <x:c r="G9" s="25" t="n">
        <x:f>COUNTIF('Remaining Issues'!A2:A200,"M5")</x:f>
        <x:v>7</x:v>
      </x:c>
      <x:c r="H9" s="25"/>
    </x:row>
    <x:row r="10">
      <x:c r="A10" s="25" t="str">
        <x:v>M4</x:v>
      </x:c>
      <x:c r="B10" s="25" t="str">
        <x:v>PLANNED</x:v>
      </x:c>
      <x:c r="C10" s="25" t="str">
        <x:v>Complete launch safety evidence</x:v>
      </x:c>
      <x:c r="D10" s="25" t="str">
        <x:v>YES</x:v>
      </x:c>
      <x:c r="E10" s="25"/>
      <x:c r="F10" s="25" t="str">
        <x:v>Synthetic fixtures</x:v>
      </x:c>
      <x:c r="G10" s="25" t="n">
        <x:f>COUNTA('Fixture Manifest'!A2:A200)</x:f>
        <x:v>29</x:v>
      </x:c>
      <x:c r="H10" s="25"/>
    </x:row>
    <x:row r="11">
      <x:c r="A11" s="25" t="str">
        <x:v>M5</x:v>
      </x:c>
      <x:c r="B11" s="25" t="str">
        <x:v>PLANNED</x:v>
      </x:c>
      <x:c r="C11" s="25" t="str">
        <x:v>Run closed supervised pilot</x:v>
      </x:c>
      <x:c r="D11" s="25" t="str">
        <x:v>NO</x:v>
      </x:c>
      <x:c r="E11" s="25"/>
      <x:c r="F11" s="25" t="str">
        <x:v>Quarantine fixtures</x:v>
      </x:c>
      <x:c r="G11" s="25" t="n">
        <x:f>COUNTIF('Fixture Manifest'!I2:I200,"quarantined")</x:f>
        <x:v>4</x:v>
      </x:c>
      <x:c r="H11" s="25"/>
    </x:row>
    <x:row r="12">
      <x:c r="A12" s="25" t="str">
        <x:v>M6</x:v>
      </x:c>
      <x:c r="B12" s="25" t="str">
        <x:v>DEFERRED</x:v>
      </x:c>
      <x:c r="C12" s="25" t="str">
        <x:v>Choose one requested capability</x:v>
      </x:c>
      <x:c r="D12" s="25" t="str">
        <x:v>NO</x:v>
      </x:c>
      <x:c r="E12" s="25"/>
      <x:c r="F12" s="25" t="str">
        <x:v>Ground-truth fixtures</x:v>
      </x:c>
      <x:c r="G12" s="25" t="n">
        <x:f>SUM('Fixture Manifest'!N2:N200)</x:f>
        <x:v>25</x:v>
      </x:c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18" t="str">
        <x:v>M2.5 First Smoke Slice</x:v>
      </x:c>
      <x:c r="B16" s="18" t="str">
        <x:v>Fixture</x:v>
      </x:c>
      <x:c r="C16" s="18" t="str">
        <x:v>Expected behavior</x:v>
      </x:c>
      <x:c r="D16" s="18" t="str">
        <x:v>Done?</x:v>
      </x:c>
      <x:c r="E16" s="25"/>
      <x:c r="F16" s="25"/>
      <x:c r="G16" s="25"/>
      <x:c r="H16" s="25"/>
    </x:row>
    <x:row r="17">
      <x:c r="A17" s="25" t="str">
        <x:v>Digital PDF</x:v>
      </x:c>
      <x:c r="B17" s="25" t="str">
        <x:v>INV-002</x:v>
      </x:c>
      <x:c r="C17" s="25" t="str">
        <x:v>Docling/native parse → canonical candidate</x:v>
      </x:c>
      <x:c r="D17" s="25" t="str">
        <x:v>No</x:v>
      </x:c>
      <x:c r="E17" s="25"/>
      <x:c r="F17" s="25"/>
      <x:c r="G17" s="25"/>
      <x:c r="H17" s="25"/>
    </x:row>
    <x:row r="18">
      <x:c r="A18" s="25" t="str">
        <x:v>Multipage lines</x:v>
      </x:c>
      <x:c r="B18" s="25" t="str">
        <x:v>INV-011</x:v>
      </x:c>
      <x:c r="C18" s="25" t="str">
        <x:v>Stable page/table extraction</x:v>
      </x:c>
      <x:c r="D18" s="25" t="str">
        <x:v>No</x:v>
      </x:c>
      <x:c r="E18" s="25"/>
      <x:c r="F18" s="25"/>
      <x:c r="G18" s="25"/>
      <x:c r="H18" s="25"/>
    </x:row>
    <x:row r="19">
      <x:c r="A19" s="25" t="str">
        <x:v>Blurred scan</x:v>
      </x:c>
      <x:c r="B19" s="25" t="str">
        <x:v>IMG-001</x:v>
      </x:c>
      <x:c r="C19" s="25" t="str">
        <x:v>OCR/evidence or safe quality warning</x:v>
      </x:c>
      <x:c r="D19" s="25" t="str">
        <x:v>No</x:v>
      </x:c>
      <x:c r="E19" s="25"/>
      <x:c r="F19" s="25"/>
      <x:c r="G19" s="25"/>
      <x:c r="H19" s="25"/>
    </x:row>
    <x:row r="20">
      <x:c r="A20" s="25" t="str">
        <x:v>Rotated image</x:v>
      </x:c>
      <x:c r="B20" s="25" t="str">
        <x:v>IMG-002</x:v>
      </x:c>
      <x:c r="C20" s="25" t="str">
        <x:v>Normalize orientation and extract</x:v>
      </x:c>
      <x:c r="D20" s="25" t="str">
        <x:v>No</x:v>
      </x:c>
      <x:c r="E20" s="25"/>
      <x:c r="F20" s="25"/>
      <x:c r="G20" s="25"/>
      <x:c r="H20" s="25"/>
    </x:row>
    <x:row r="21">
      <x:c r="A21" s="25" t="str">
        <x:v>Ambiguous number</x:v>
      </x:c>
      <x:c r="B21" s="25" t="str">
        <x:v>INV-016</x:v>
      </x:c>
      <x:c r="C21" s="25" t="str">
        <x:v>Preserve ambiguity; do not invent</x:v>
      </x:c>
      <x:c r="D21" s="25" t="str">
        <x:v>No</x:v>
      </x:c>
      <x:c r="E21" s="25"/>
      <x:c r="F21" s="25"/>
      <x:c r="G21" s="25"/>
      <x:c r="H21" s="25"/>
    </x:row>
    <x:row r="22">
      <x:c r="A22" s="25" t="str">
        <x:v>Hybrid PDF</x:v>
      </x:c>
      <x:c r="B22" s="25" t="str">
        <x:v>HYB-001</x:v>
      </x:c>
      <x:c r="C22" s="25" t="str">
        <x:v>Preserve completed M2 route decision</x:v>
      </x:c>
      <x:c r="D22" s="25" t="str">
        <x:v>No</x:v>
      </x:c>
      <x:c r="E22" s="25"/>
      <x:c r="F22" s="25"/>
      <x:c r="G22" s="25"/>
      <x:c r="H22" s="25"/>
    </x:row>
    <x:row r="23">
      <x:c r="A23" s="25" t="str">
        <x:v>Unsafe PDF</x:v>
      </x:c>
      <x:c r="B23" s="25" t="str">
        <x:v>BAD-001</x:v>
      </x:c>
      <x:c r="C23" s="25" t="str">
        <x:v>Reject safely without model call</x:v>
      </x:c>
      <x:c r="D23" s="25" t="str">
        <x:v>No</x:v>
      </x:c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</x:sheetData>
  <x:mergeCells>
    <x:mergeCell ref="A1:H1"/>
    <x:mergeCell ref="A2:H2"/>
  </x:mergeCells>
  <x:conditionalFormatting sqref="B5:B12">
    <x:cfRule type="expression" dxfId="0" priority="1">
      <x:formula>OR(B5="COMPLETE",B5="COMPLETE_FROZEN")</x:formula>
    </x:cfRule>
    <x:cfRule type="expression" dxfId="1" priority="2">
      <x:formula>B5="NEXT"</x:formula>
    </x:cfRule>
    <x:cfRule type="expression" dxfId="2" priority="3">
      <x:formula>B5="PLANNED_PARALLEL"</x:formula>
    </x:cfRule>
  </x:conditionalFormatting>
  <x:conditionalFormatting sqref="D17:D23">
    <x:cfRule type="expression" dxfId="3" priority="4">
      <x:formula>D17="Yes"</x:formula>
    </x:cfRule>
  </x:conditionalFormatting>
  <x:dataValidations count="1">
    <x:dataValidation type="list" sqref="D17:D23">
      <x:formula1>"No,In Progress,Yes"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2" hidden="0" customWidth="1"/>
    <x:col min="4" max="4" width="44" hidden="0" customWidth="1"/>
  </x:cols>
  <x:sheetData>
    <x:row r="1">
      <x:c r="A1" s="18" t="str">
        <x:v>Milestone</x:v>
      </x:c>
      <x:c r="B1" s="18" t="str">
        <x:v>Status</x:v>
      </x:c>
      <x:c r="C1" s="18" t="str">
        <x:v>Status Basis</x:v>
      </x:c>
      <x:c r="D1" s="18" t="str">
        <x:v>Next Action</x:v>
      </x:c>
    </x:row>
    <x:row r="2">
      <x:c r="A2" s="25" t="str">
        <x:v>M0</x:v>
      </x:c>
      <x:c r="B2" s="25" t="str">
        <x:v>COMPLETE</x:v>
      </x:c>
      <x:c r="C2" s="25" t="str">
        <x:v>Project owner status and M0 handoff</x:v>
      </x:c>
      <x:c r="D2" s="25" t="str">
        <x:v>Maintain frozen pilot profile</x:v>
      </x:c>
    </x:row>
    <x:row r="3">
      <x:c r="A3" s="25" t="str">
        <x:v>M1</x:v>
      </x:c>
      <x:c r="B3" s="25" t="str">
        <x:v>COMPLETE</x:v>
      </x:c>
      <x:c r="C3" s="25" t="str">
        <x:v>Project owner status</x:v>
      </x:c>
      <x:c r="D3" s="25" t="str">
        <x:v>Run contract regression on every change</x:v>
      </x:c>
    </x:row>
    <x:row r="4">
      <x:c r="A4" s="25" t="str">
        <x:v>M2</x:v>
      </x:c>
      <x:c r="B4" s="25" t="str">
        <x:v>COMPLETE_FROZEN</x:v>
      </x:c>
      <x:c r="C4" s="25" t="str">
        <x:v>Project owner status; no retroactive open-source scope</x:v>
      </x:c>
      <x:c r="D4" s="25" t="str">
        <x:v>Maintain M2 provider contract and evidence links</x:v>
      </x:c>
    </x:row>
    <x:row r="5">
      <x:c r="A5" s="25" t="str">
        <x:v>M2.5</x:v>
      </x:c>
      <x:c r="B5" s="25" t="str">
        <x:v>NEXT</x:v>
      </x:c>
      <x:c r="C5" s="25" t="str">
        <x:v>New post-M2 open-source integration milestone</x:v>
      </x:c>
      <x:c r="D5" s="25" t="str">
        <x:v>Snapshot M2 contract and add provider feature flags</x:v>
      </x:c>
    </x:row>
    <x:row r="6">
      <x:c r="A6" s="25" t="str">
        <x:v>M3</x:v>
      </x:c>
      <x:c r="B6" s="25" t="str">
        <x:v>PLANNED_PARALLEL</x:v>
      </x:c>
      <x:c r="C6" s="25" t="str">
        <x:v>Fixture-driven work may overlap M2.5; real E2E depends on M2.5</x:v>
      </x:c>
      <x:c r="D6" s="25" t="str">
        <x:v>Build first review slice with fixture provider</x:v>
      </x:c>
    </x:row>
    <x:row r="7">
      <x:c r="A7" s="25" t="str">
        <x:v>M4</x:v>
      </x:c>
      <x:c r="B7" s="25" t="str">
        <x:v>PLANNED</x:v>
      </x:c>
      <x:c r="C7" s="25" t="str">
        <x:v>Blocked by M3</x:v>
      </x:c>
      <x:c r="D7" s="25" t="str">
        <x:v>Complete launch safety evidence</x:v>
      </x:c>
    </x:row>
    <x:row r="8">
      <x:c r="A8" s="25" t="str">
        <x:v>M5</x:v>
      </x:c>
      <x:c r="B8" s="25" t="str">
        <x:v>PLANNED</x:v>
      </x:c>
      <x:c r="C8" s="25" t="str">
        <x:v>Blocked by M4</x:v>
      </x:c>
      <x:c r="D8" s="25" t="str">
        <x:v>Run closed supervised pilot</x:v>
      </x:c>
    </x:row>
    <x:row r="9">
      <x:c r="A9" s="25" t="str">
        <x:v>M6</x:v>
      </x:c>
      <x:c r="B9" s="25" t="str">
        <x:v>DEFERRED</x:v>
      </x:c>
      <x:c r="C9" s="25" t="str">
        <x:v>Requires M5 demand evidence</x:v>
      </x:c>
      <x:c r="D9" s="25" t="str">
        <x:v>Choose one requested capability</x:v>
      </x:c>
    </x:row>
  </x:sheetData>
  <x:pageMargins left="0.7" right="0.7" top="0.75" bottom="0.75" header="0.3" footer="0.3"/>
  <x:tableParts count="1">
    <x:tablePart xmlns:r="http://schemas.openxmlformats.org/officeDocument/2006/relationships" r:id="R910bd0e93a2748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42" hidden="0" customWidth="1"/>
    <x:col min="4" max="4" width="10" hidden="0" customWidth="1"/>
    <x:col min="5" max="5" width="18" hidden="0" customWidth="1"/>
    <x:col min="6" max="6" width="34" hidden="0" customWidth="1"/>
    <x:col min="7" max="7" width="50" hidden="0" customWidth="1"/>
    <x:col min="8" max="8" width="24" hidden="0" customWidth="1"/>
    <x:col min="9" max="9" width="16" hidden="0" customWidth="1"/>
    <x:col min="10" max="10" width="32" hidden="0" customWidth="1"/>
    <x:col min="11" max="11" width="28" hidden="0" customWidth="1"/>
  </x:cols>
  <x:sheetData>
    <x:row r="1">
      <x:c r="A1" s="18" t="str">
        <x:v>Milestone</x:v>
      </x:c>
      <x:c r="B1" s="18" t="str">
        <x:v>Issue ID</x:v>
      </x:c>
      <x:c r="C1" s="18" t="str">
        <x:v>Title</x:v>
      </x:c>
      <x:c r="D1" s="18" t="str">
        <x:v>Priority</x:v>
      </x:c>
      <x:c r="E1" s="18" t="str">
        <x:v>Owner Role</x:v>
      </x:c>
      <x:c r="F1" s="18" t="str">
        <x:v>Primary Docs</x:v>
      </x:c>
      <x:c r="G1" s="18" t="str">
        <x:v>Acceptance Criteria</x:v>
      </x:c>
      <x:c r="H1" s="18" t="str">
        <x:v>Dependencies</x:v>
      </x:c>
      <x:c r="I1" s="18" t="str">
        <x:v>Status</x:v>
      </x:c>
      <x:c r="J1" s="18" t="str">
        <x:v>Next Evidence</x:v>
      </x:c>
      <x:c r="K1" s="18" t="str">
        <x:v>Notes</x:v>
      </x:c>
    </x:row>
    <x:row r="2">
      <x:c r="A2" s="25" t="str">
        <x:v>M2.5</x:v>
      </x:c>
      <x:c r="B2" s="25" t="str">
        <x:v>M2.5-01</x:v>
      </x:c>
      <x:c r="C2" s="25" t="str">
        <x:v>Freeze M2 provider contract and feature flags</x:v>
      </x:c>
      <x:c r="D2" s="25" t="str">
        <x:v>P0</x:v>
      </x:c>
      <x:c r="E2" s="25" t="str">
        <x:v>Backend/AI</x:v>
      </x:c>
      <x:c r="F2" s="25" t="str">
        <x:v>18_M2_FROZEN_AND_M2_5_HANDOFF;23_M2_5_IMPLEMENTATION_PLAN</x:v>
      </x:c>
      <x:c r="G2" s="25" t="str">
        <x:v>Existing contract tests pass; provider disable restores prior behavior</x:v>
      </x:c>
      <x:c r="H2" s="25" t="str">
        <x:v>M2</x:v>
      </x:c>
      <x:c r="I2" s="25" t="str">
        <x:v>NOT_STARTED</x:v>
      </x:c>
      <x:c r="J2" s="25" t="str">
        <x:v>Contract snapshot and rollback test</x:v>
      </x:c>
      <x:c r="K2" s="25" t="str"/>
    </x:row>
    <x:row r="3">
      <x:c r="A3" s="25" t="str">
        <x:v>M2.5</x:v>
      </x:c>
      <x:c r="B3" s="25" t="str">
        <x:v>M2.5-02</x:v>
      </x:c>
      <x:c r="C3" s="25" t="str">
        <x:v>Digital PDF parser adapter</x:v>
      </x:c>
      <x:c r="D3" s="25" t="str">
        <x:v>P0</x:v>
      </x:c>
      <x:c r="E3" s="25" t="str">
        <x:v>AI/Backend</x:v>
      </x:c>
      <x:c r="F3" s="25" t="str">
        <x:v>03_TECHNICAL_ARCHITECTURE;23_M2_5_IMPLEMENTATION_PLAN</x:v>
      </x:c>
      <x:c r="G3" s="25" t="str">
        <x:v>Digital PDF fixtures produce reproducible page structure and provenance</x:v>
      </x:c>
      <x:c r="H3" s="25" t="str">
        <x:v>M2.5-01</x:v>
      </x:c>
      <x:c r="I3" s="25" t="str">
        <x:v>NOT_STARTED</x:v>
      </x:c>
      <x:c r="J3" s="25" t="str">
        <x:v>Docling/native parser fixture report</x:v>
      </x:c>
      <x:c r="K3" s="25" t="str"/>
    </x:row>
    <x:row r="4">
      <x:c r="A4" s="25" t="str">
        <x:v>M2.5</x:v>
      </x:c>
      <x:c r="B4" s="25" t="str">
        <x:v>M2.5-03</x:v>
      </x:c>
      <x:c r="C4" s="25" t="str">
        <x:v>Scan layout OCR evidence adapter</x:v>
      </x:c>
      <x:c r="D4" s="25" t="str">
        <x:v>P0</x:v>
      </x:c>
      <x:c r="E4" s="25" t="str">
        <x:v>AI/Backend</x:v>
      </x:c>
      <x:c r="F4" s="25" t="str">
        <x:v>19_OPEN_SOURCE_MODEL_STRATEGY;20_SYNTHETIC_CORPUS_GUIDE</x:v>
      </x:c>
      <x:c r="G4" s="25" t="str">
        <x:v>Image/TIFF fixtures return OCR layout evidence or safe quality failure</x:v>
      </x:c>
      <x:c r="H4" s="25" t="str">
        <x:v>M2.5-01</x:v>
      </x:c>
      <x:c r="I4" s="25" t="str">
        <x:v>NOT_STARTED</x:v>
      </x:c>
      <x:c r="J4" s="25" t="str">
        <x:v>PaddleOCR-VL route report</x:v>
      </x:c>
      <x:c r="K4" s="25" t="str"/>
    </x:row>
    <x:row r="5">
      <x:c r="A5" s="25" t="str">
        <x:v>M2.5</x:v>
      </x:c>
      <x:c r="B5" s="25" t="str">
        <x:v>M2.5-04</x:v>
      </x:c>
      <x:c r="C5" s="25" t="str">
        <x:v>Qwen canonical semantic extraction adapter</x:v>
      </x:c>
      <x:c r="D5" s="25" t="str">
        <x:v>P0</x:v>
      </x:c>
      <x:c r="E5" s="25" t="str">
        <x:v>AI/Backend</x:v>
      </x:c>
      <x:c r="F5" s="25" t="str">
        <x:v>19_OPEN_SOURCE_MODEL_STRATEGY;invoice.schema.json</x:v>
      </x:c>
      <x:c r="G5" s="25" t="str">
        <x:v>Supported fixtures return schema-valid candidates or explicit failure</x:v>
      </x:c>
      <x:c r="H5" s="25" t="str">
        <x:v>M2.5-01</x:v>
      </x:c>
      <x:c r="I5" s="25" t="str">
        <x:v>NOT_STARTED</x:v>
      </x:c>
      <x:c r="J5" s="25" t="str">
        <x:v>Qwen provider contract report</x:v>
      </x:c>
      <x:c r="K5" s="25" t="str"/>
    </x:row>
    <x:row r="6">
      <x:c r="A6" s="25" t="str">
        <x:v>M2.5</x:v>
      </x:c>
      <x:c r="B6" s="25" t="str">
        <x:v>M2.5-05</x:v>
      </x:c>
      <x:c r="C6" s="25" t="str">
        <x:v>Compose local routes with provenance and idempotency</x:v>
      </x:c>
      <x:c r="D6" s="25" t="str">
        <x:v>P0</x:v>
      </x:c>
      <x:c r="E6" s="25" t="str">
        <x:v>Backend/AI</x:v>
      </x:c>
      <x:c r="F6" s="25" t="str">
        <x:v>03_TECHNICAL_ARCHITECTURE;04_EXTRACTION_VALIDATION_SPEC</x:v>
      </x:c>
      <x:c r="G6" s="25" t="str">
        <x:v>Replays are idempotent and every route/version is reproducible</x:v>
      </x:c>
      <x:c r="H6" s="25" t="str">
        <x:v>M2.5-02,M2.5-03,M2.5-04</x:v>
      </x:c>
      <x:c r="I6" s="25" t="str">
        <x:v>NOT_STARTED</x:v>
      </x:c>
      <x:c r="J6" s="25" t="str">
        <x:v>End-to-end route report</x:v>
      </x:c>
      <x:c r="K6" s="25" t="str"/>
    </x:row>
    <x:row r="7">
      <x:c r="A7" s="25" t="str">
        <x:v>M2.5</x:v>
      </x:c>
      <x:c r="B7" s="25" t="str">
        <x:v>M2.5-06</x:v>
      </x:c>
      <x:c r="C7" s="25" t="str">
        <x:v>Benchmark synthetic and real corpora</x:v>
      </x:c>
      <x:c r="D7" s="25" t="str">
        <x:v>P0</x:v>
      </x:c>
      <x:c r="E7" s="25" t="str">
        <x:v>Data/AI</x:v>
      </x:c>
      <x:c r="F7" s="25" t="str">
        <x:v>06_EVALUATION_TEST_PLAN;22_MODEL_BENCHMARK_RUNBOOK</x:v>
      </x:c>
      <x:c r="G7" s="25" t="str">
        <x:v>29 fixtures run; 25 ground truths scored; real holdout separate</x:v>
      </x:c>
      <x:c r="H7" s="25" t="str">
        <x:v>M2.5-05</x:v>
      </x:c>
      <x:c r="I7" s="25" t="str">
        <x:v>NOT_STARTED</x:v>
      </x:c>
      <x:c r="J7" s="25" t="str">
        <x:v>Benchmark scorecards</x:v>
      </x:c>
      <x:c r="K7" s="25" t="str"/>
    </x:row>
    <x:row r="8">
      <x:c r="A8" s="25" t="str">
        <x:v>M2.5</x:v>
      </x:c>
      <x:c r="B8" s="25" t="str">
        <x:v>M2.5-07</x:v>
      </x:c>
      <x:c r="C8" s="25" t="str">
        <x:v>Bounded repair and safe model failure handling</x:v>
      </x:c>
      <x:c r="D8" s="25" t="str">
        <x:v>P0</x:v>
      </x:c>
      <x:c r="E8" s="25" t="str">
        <x:v>AI/Backend</x:v>
      </x:c>
      <x:c r="F8" s="25" t="str">
        <x:v>04_EXTRACTION_VALIDATION_SPEC;22_MODEL_BENCHMARK_RUNBOOK</x:v>
      </x:c>
      <x:c r="G8" s="25" t="str">
        <x:v>One field-scoped repair max; timeout/OOM/invalid output fail safely</x:v>
      </x:c>
      <x:c r="H8" s="25" t="str">
        <x:v>M2.5-04,M2.5-05</x:v>
      </x:c>
      <x:c r="I8" s="25" t="str">
        <x:v>NOT_STARTED</x:v>
      </x:c>
      <x:c r="J8" s="25" t="str">
        <x:v>Repair and failure tests</x:v>
      </x:c>
      <x:c r="K8" s="25" t="str"/>
    </x:row>
    <x:row r="9">
      <x:c r="A9" s="25" t="str">
        <x:v>M2.5</x:v>
      </x:c>
      <x:c r="B9" s="25" t="str">
        <x:v>M2.5-08</x:v>
      </x:c>
      <x:c r="C9" s="25" t="str">
        <x:v>Select model configuration and approve rollout ADR</x:v>
      </x:c>
      <x:c r="D9" s="25" t="str">
        <x:v>P0</x:v>
      </x:c>
      <x:c r="E9" s="25" t="str">
        <x:v>Architecture/Product</x:v>
      </x:c>
      <x:c r="F9" s="25" t="str">
        <x:v>10_ADRS;23_M2_5_IMPLEMENTATION_PLAN</x:v>
      </x:c>
      <x:c r="G9" s="25" t="str">
        <x:v>Selected route documented; feature-flag rollback tested; M3 contract unchanged</x:v>
      </x:c>
      <x:c r="H9" s="25" t="str">
        <x:v>M2.5-06,M2.5-07</x:v>
      </x:c>
      <x:c r="I9" s="25" t="str">
        <x:v>NOT_STARTED</x:v>
      </x:c>
      <x:c r="J9" s="25" t="str">
        <x:v>ADR and rollback evidence</x:v>
      </x:c>
      <x:c r="K9" s="25" t="str"/>
    </x:row>
    <x:row r="10">
      <x:c r="A10" s="25" t="str">
        <x:v>M3</x:v>
      </x:c>
      <x:c r="B10" s="25" t="str">
        <x:v>M3-01</x:v>
      </x:c>
      <x:c r="C10" s="25" t="str">
        <x:v>Document workflow and Solid Queue jobs</x:v>
      </x:c>
      <x:c r="D10" s="25" t="str">
        <x:v>P0</x:v>
      </x:c>
      <x:c r="E10" s="25" t="str">
        <x:v>Backend</x:v>
      </x:c>
      <x:c r="F10" s="25" t="str">
        <x:v>03_TECHNICAL_ARCHITECTURE</x:v>
      </x:c>
      <x:c r="G10" s="25" t="str">
        <x:v>State/idempotency tests pass</x:v>
      </x:c>
      <x:c r="H10" s="25" t="str">
        <x:v>M2</x:v>
      </x:c>
      <x:c r="I10" s="25" t="str">
        <x:v>NOT_STARTED</x:v>
      </x:c>
      <x:c r="J10" s="25" t="str"/>
      <x:c r="K10" s="25" t="str"/>
    </x:row>
    <x:row r="11">
      <x:c r="A11" s="25" t="str">
        <x:v>M3</x:v>
      </x:c>
      <x:c r="B11" s="25" t="str">
        <x:v>M3-02</x:v>
      </x:c>
      <x:c r="C11" s="25" t="str">
        <x:v>Batch progress and risk queue</x:v>
      </x:c>
      <x:c r="D11" s="25" t="str">
        <x:v>P0</x:v>
      </x:c>
      <x:c r="E11" s="25" t="str">
        <x:v>Fullstack</x:v>
      </x:c>
      <x:c r="F11" s="25" t="str">
        <x:v>02_PRD</x:v>
      </x:c>
      <x:c r="G11" s="25" t="str">
        <x:v>Progress updates and risk sorting work</x:v>
      </x:c>
      <x:c r="H11" s="25" t="str">
        <x:v>M3-01</x:v>
      </x:c>
      <x:c r="I11" s="25" t="str">
        <x:v>NOT_STARTED</x:v>
      </x:c>
      <x:c r="J11" s="25" t="str"/>
      <x:c r="K11" s="25" t="str"/>
    </x:row>
    <x:row r="12">
      <x:c r="A12" s="25" t="str">
        <x:v>M3</x:v>
      </x:c>
      <x:c r="B12" s="25" t="str">
        <x:v>M3-03</x:v>
      </x:c>
      <x:c r="C12" s="25" t="str">
        <x:v>Evidence-backed document editor</x:v>
      </x:c>
      <x:c r="D12" s="25" t="str">
        <x:v>P0</x:v>
      </x:c>
      <x:c r="E12" s="25" t="str">
        <x:v>Fullstack</x:v>
      </x:c>
      <x:c r="F12" s="25" t="str">
        <x:v>04_EXTRACTION_VALIDATION_SPEC</x:v>
      </x:c>
      <x:c r="G12" s="25" t="str">
        <x:v>High-risk fields focus evidence</x:v>
      </x:c>
      <x:c r="H12" s="25" t="str">
        <x:v>M3-02</x:v>
      </x:c>
      <x:c r="I12" s="25" t="str">
        <x:v>NOT_STARTED</x:v>
      </x:c>
      <x:c r="J12" s="25" t="str"/>
      <x:c r="K12" s="25" t="str"/>
    </x:row>
    <x:row r="13">
      <x:c r="A13" s="25" t="str">
        <x:v>M3</x:v>
      </x:c>
      <x:c r="B13" s="25" t="str">
        <x:v>M3-04</x:v>
      </x:c>
      <x:c r="C13" s="25" t="str">
        <x:v>Locale format and pack override</x:v>
      </x:c>
      <x:c r="D13" s="25" t="str">
        <x:v>P0</x:v>
      </x:c>
      <x:c r="E13" s="25" t="str">
        <x:v>Fullstack</x:v>
      </x:c>
      <x:c r="F13" s="25" t="str">
        <x:v>14_GLOBALIZATION_STRATEGY</x:v>
      </x:c>
      <x:c r="G13" s="25" t="str">
        <x:v>Operator override audited</x:v>
      </x:c>
      <x:c r="H13" s="25" t="str">
        <x:v>M3-03</x:v>
      </x:c>
      <x:c r="I13" s="25" t="str">
        <x:v>NOT_STARTED</x:v>
      </x:c>
      <x:c r="J13" s="25" t="str"/>
      <x:c r="K13" s="25" t="str"/>
    </x:row>
    <x:row r="14">
      <x:c r="A14" s="25" t="str">
        <x:v>M3</x:v>
      </x:c>
      <x:c r="B14" s="25" t="str">
        <x:v>M3-05</x:v>
      </x:c>
      <x:c r="C14" s="25" t="str">
        <x:v>Acceptance policy</x:v>
      </x:c>
      <x:c r="D14" s="25" t="str">
        <x:v>P0</x:v>
      </x:c>
      <x:c r="E14" s="25" t="str">
        <x:v>Backend</x:v>
      </x:c>
      <x:c r="F14" s="25" t="str">
        <x:v>06_EVALUATION_TEST_PLAN</x:v>
      </x:c>
      <x:c r="G14" s="25" t="str">
        <x:v>No critical/high auto-accept</x:v>
      </x:c>
      <x:c r="H14" s="25" t="str">
        <x:v>M1-04,M2.5-06</x:v>
      </x:c>
      <x:c r="I14" s="25" t="str">
        <x:v>NOT_STARTED</x:v>
      </x:c>
      <x:c r="J14" s="25" t="str"/>
      <x:c r="K14" s="25" t="str"/>
    </x:row>
    <x:row r="15">
      <x:c r="A15" s="25" t="str">
        <x:v>M3</x:v>
      </x:c>
      <x:c r="B15" s="25" t="str">
        <x:v>M3-06</x:v>
      </x:c>
      <x:c r="C15" s="25" t="str">
        <x:v>Immutable revisions and audit</x:v>
      </x:c>
      <x:c r="D15" s="25" t="str">
        <x:v>P0</x:v>
      </x:c>
      <x:c r="E15" s="25" t="str">
        <x:v>Backend</x:v>
      </x:c>
      <x:c r="F15" s="25" t="str">
        <x:v>03_TECHNICAL_ARCHITECTURE</x:v>
      </x:c>
      <x:c r="G15" s="25" t="str">
        <x:v>Approved revision immutable</x:v>
      </x:c>
      <x:c r="H15" s="25" t="str">
        <x:v>M3-03</x:v>
      </x:c>
      <x:c r="I15" s="25" t="str">
        <x:v>NOT_STARTED</x:v>
      </x:c>
      <x:c r="J15" s="25" t="str"/>
      <x:c r="K15" s="25" t="str"/>
    </x:row>
    <x:row r="16">
      <x:c r="A16" s="25" t="str">
        <x:v>M3</x:v>
      </x:c>
      <x:c r="B16" s="25" t="str">
        <x:v>M3-07</x:v>
      </x:c>
      <x:c r="C16" s="25" t="str">
        <x:v>Keyboard review workflow</x:v>
      </x:c>
      <x:c r="D16" s="25" t="str">
        <x:v>P1</x:v>
      </x:c>
      <x:c r="E16" s="25" t="str">
        <x:v>Fullstack</x:v>
      </x:c>
      <x:c r="F16" s="25" t="str">
        <x:v>02_PRD</x:v>
      </x:c>
      <x:c r="G16" s="25" t="str">
        <x:v>50-document system flow passes</x:v>
      </x:c>
      <x:c r="H16" s="25" t="str">
        <x:v>M3-03</x:v>
      </x:c>
      <x:c r="I16" s="25" t="str">
        <x:v>NOT_STARTED</x:v>
      </x:c>
      <x:c r="J16" s="25" t="str"/>
      <x:c r="K16" s="25" t="str"/>
    </x:row>
    <x:row r="17">
      <x:c r="A17" s="25" t="str">
        <x:v>M3</x:v>
      </x:c>
      <x:c r="B17" s="25" t="str">
        <x:v>M3-08</x:v>
      </x:c>
      <x:c r="C17" s="25" t="str">
        <x:v>Approved-revision export integration</x:v>
      </x:c>
      <x:c r="D17" s="25" t="str">
        <x:v>P0</x:v>
      </x:c>
      <x:c r="E17" s="25" t="str">
        <x:v>Backend</x:v>
      </x:c>
      <x:c r="F17" s="25" t="str">
        <x:v>OpenAPI;exports</x:v>
      </x:c>
      <x:c r="G17" s="25" t="str">
        <x:v>Only approved revisions exported</x:v>
      </x:c>
      <x:c r="H17" s="25" t="str">
        <x:v>M1-06,M3-06</x:v>
      </x:c>
      <x:c r="I17" s="25" t="str">
        <x:v>NOT_STARTED</x:v>
      </x:c>
      <x:c r="J17" s="25" t="str"/>
      <x:c r="K17" s="25" t="str"/>
    </x:row>
    <x:row r="18">
      <x:c r="A18" s="25" t="str">
        <x:v>M4</x:v>
      </x:c>
      <x:c r="B18" s="25" t="str">
        <x:v>M4-01</x:v>
      </x:c>
      <x:c r="C18" s="25" t="str">
        <x:v>Authentication and tenant isolation</x:v>
      </x:c>
      <x:c r="D18" s="25" t="str">
        <x:v>P0</x:v>
      </x:c>
      <x:c r="E18" s="25" t="str">
        <x:v>Security/Backend</x:v>
      </x:c>
      <x:c r="F18" s="25" t="str">
        <x:v>05_SECURITY_PRIVACY</x:v>
      </x:c>
      <x:c r="G18" s="25" t="str">
        <x:v>Cross-tenant tests fail closed</x:v>
      </x:c>
      <x:c r="H18" s="25" t="str">
        <x:v>M3</x:v>
      </x:c>
      <x:c r="I18" s="25" t="str">
        <x:v>NOT_STARTED</x:v>
      </x:c>
      <x:c r="J18" s="25" t="str"/>
      <x:c r="K18" s="25" t="str"/>
    </x:row>
    <x:row r="19">
      <x:c r="A19" s="25" t="str">
        <x:v>M4</x:v>
      </x:c>
      <x:c r="B19" s="25" t="str">
        <x:v>M4-02</x:v>
      </x:c>
      <x:c r="C19" s="25" t="str">
        <x:v>Private object storage</x:v>
      </x:c>
      <x:c r="D19" s="25" t="str">
        <x:v>P0</x:v>
      </x:c>
      <x:c r="E19" s="25" t="str">
        <x:v>Infra</x:v>
      </x:c>
      <x:c r="F19" s="25" t="str">
        <x:v>05_SECURITY_PRIVACY</x:v>
      </x:c>
      <x:c r="G19" s="25" t="str">
        <x:v>Short-lived authenticated access</x:v>
      </x:c>
      <x:c r="H19" s="25" t="str">
        <x:v>M2-01</x:v>
      </x:c>
      <x:c r="I19" s="25" t="str">
        <x:v>NOT_STARTED</x:v>
      </x:c>
      <x:c r="J19" s="25" t="str"/>
      <x:c r="K19" s="25" t="str"/>
    </x:row>
    <x:row r="20">
      <x:c r="A20" s="25" t="str">
        <x:v>M4</x:v>
      </x:c>
      <x:c r="B20" s="25" t="str">
        <x:v>M4-03</x:v>
      </x:c>
      <x:c r="C20" s="25" t="str">
        <x:v>Retention and deletion verifier</x:v>
      </x:c>
      <x:c r="D20" s="25" t="str">
        <x:v>P0</x:v>
      </x:c>
      <x:c r="E20" s="25" t="str">
        <x:v>Backend/Infra</x:v>
      </x:c>
      <x:c r="F20" s="25" t="str">
        <x:v>07_OPERATIONS_RUNBOOK</x:v>
      </x:c>
      <x:c r="G20" s="25" t="str">
        <x:v>All object classes reconciled</x:v>
      </x:c>
      <x:c r="H20" s="25" t="str">
        <x:v>M4-02</x:v>
      </x:c>
      <x:c r="I20" s="25" t="str">
        <x:v>NOT_STARTED</x:v>
      </x:c>
      <x:c r="J20" s="25" t="str"/>
      <x:c r="K20" s="25" t="str"/>
    </x:row>
    <x:row r="21">
      <x:c r="A21" s="25" t="str">
        <x:v>M4</x:v>
      </x:c>
      <x:c r="B21" s="25" t="str">
        <x:v>M4-04</x:v>
      </x:c>
      <x:c r="C21" s="25" t="str">
        <x:v>Content-free logging proof</x:v>
      </x:c>
      <x:c r="D21" s="25" t="str">
        <x:v>P0</x:v>
      </x:c>
      <x:c r="E21" s="25" t="str">
        <x:v>Security</x:v>
      </x:c>
      <x:c r="F21" s="25" t="str">
        <x:v>05_SECURITY_PRIVACY</x:v>
      </x:c>
      <x:c r="G21" s="25" t="str">
        <x:v>Canary data absent from logs/errors</x:v>
      </x:c>
      <x:c r="H21" s="25" t="str">
        <x:v>M2.5,M3</x:v>
      </x:c>
      <x:c r="I21" s="25" t="str">
        <x:v>NOT_STARTED</x:v>
      </x:c>
      <x:c r="J21" s="25" t="str"/>
      <x:c r="K21" s="25" t="str"/>
    </x:row>
    <x:row r="22">
      <x:c r="A22" s="25" t="str">
        <x:v>M4</x:v>
      </x:c>
      <x:c r="B22" s="25" t="str">
        <x:v>M4-05</x:v>
      </x:c>
      <x:c r="C22" s="25" t="str">
        <x:v>Quotas spend limits circuit breaker</x:v>
      </x:c>
      <x:c r="D22" s="25" t="str">
        <x:v>P0</x:v>
      </x:c>
      <x:c r="E22" s="25" t="str">
        <x:v>Backend/Infra</x:v>
      </x:c>
      <x:c r="F22" s="25" t="str">
        <x:v>07_OPERATIONS_RUNBOOK</x:v>
      </x:c>
      <x:c r="G22" s="25" t="str">
        <x:v>Ceiling pauses external calls safely</x:v>
      </x:c>
      <x:c r="H22" s="25" t="str">
        <x:v>M2.5-05</x:v>
      </x:c>
      <x:c r="I22" s="25" t="str">
        <x:v>NOT_STARTED</x:v>
      </x:c>
      <x:c r="J22" s="25" t="str"/>
      <x:c r="K22" s="25" t="str"/>
    </x:row>
    <x:row r="23">
      <x:c r="A23" s="25" t="str">
        <x:v>M4</x:v>
      </x:c>
      <x:c r="B23" s="25" t="str">
        <x:v>M4-06</x:v>
      </x:c>
      <x:c r="C23" s="25" t="str">
        <x:v>Deploy web job database and backups</x:v>
      </x:c>
      <x:c r="D23" s="25" t="str">
        <x:v>P0</x:v>
      </x:c>
      <x:c r="E23" s="25" t="str">
        <x:v>Infra</x:v>
      </x:c>
      <x:c r="F23" s="25" t="str">
        <x:v>03_TECHNICAL_ARCHITECTURE</x:v>
      </x:c>
      <x:c r="G23" s="25" t="str">
        <x:v>Pilot environment healthy</x:v>
      </x:c>
      <x:c r="H23" s="25" t="str">
        <x:v>M4-01,M4-02</x:v>
      </x:c>
      <x:c r="I23" s="25" t="str">
        <x:v>NOT_STARTED</x:v>
      </x:c>
      <x:c r="J23" s="25" t="str"/>
      <x:c r="K23" s="25" t="str"/>
    </x:row>
    <x:row r="24">
      <x:c r="A24" s="25" t="str">
        <x:v>M4</x:v>
      </x:c>
      <x:c r="B24" s="25" t="str">
        <x:v>M4-07</x:v>
      </x:c>
      <x:c r="C24" s="25" t="str">
        <x:v>Restore and recovery drills</x:v>
      </x:c>
      <x:c r="D24" s="25" t="str">
        <x:v>P0</x:v>
      </x:c>
      <x:c r="E24" s="25" t="str">
        <x:v>Infra</x:v>
      </x:c>
      <x:c r="F24" s="25" t="str">
        <x:v>07_OPERATIONS_RUNBOOK</x:v>
      </x:c>
      <x:c r="G24" s="25" t="str">
        <x:v>Evidence recorded and targets met</x:v>
      </x:c>
      <x:c r="H24" s="25" t="str">
        <x:v>M4-06</x:v>
      </x:c>
      <x:c r="I24" s="25" t="str">
        <x:v>NOT_STARTED</x:v>
      </x:c>
      <x:c r="J24" s="25" t="str"/>
      <x:c r="K24" s="25" t="str"/>
    </x:row>
    <x:row r="25">
      <x:c r="A25" s="25" t="str">
        <x:v>M4</x:v>
      </x:c>
      <x:c r="B25" s="25" t="str">
        <x:v>M4-08</x:v>
      </x:c>
      <x:c r="C25" s="25" t="str">
        <x:v>Privacy residency launch approval</x:v>
      </x:c>
      <x:c r="D25" s="25" t="str">
        <x:v>P0</x:v>
      </x:c>
      <x:c r="E25" s="25" t="str">
        <x:v>Security</x:v>
      </x:c>
      <x:c r="F25" s="25" t="str">
        <x:v>05_SECURITY_PRIVACY</x:v>
      </x:c>
      <x:c r="G25" s="25" t="str">
        <x:v>Checklist signed</x:v>
      </x:c>
      <x:c r="H25" s="25" t="str">
        <x:v>M0-07,M4-03,M4-04</x:v>
      </x:c>
      <x:c r="I25" s="25" t="str">
        <x:v>NOT_STARTED</x:v>
      </x:c>
      <x:c r="J25" s="25" t="str"/>
      <x:c r="K25" s="25" t="str"/>
    </x:row>
    <x:row r="26">
      <x:c r="A26" s="25" t="str">
        <x:v>M4</x:v>
      </x:c>
      <x:c r="B26" s="25" t="str">
        <x:v>M4-09</x:v>
      </x:c>
      <x:c r="C26" s="25" t="str">
        <x:v>Security CI and upload abuse suite</x:v>
      </x:c>
      <x:c r="D26" s="25" t="str">
        <x:v>P0</x:v>
      </x:c>
      <x:c r="E26" s="25" t="str">
        <x:v>Security</x:v>
      </x:c>
      <x:c r="F26" s="25" t="str">
        <x:v>05_SECURITY_PRIVACY</x:v>
      </x:c>
      <x:c r="G26" s="25" t="str">
        <x:v>Brakeman/dependency/upload tests pass</x:v>
      </x:c>
      <x:c r="H26" s="25" t="str">
        <x:v>M4-01</x:v>
      </x:c>
      <x:c r="I26" s="25" t="str">
        <x:v>NOT_STARTED</x:v>
      </x:c>
      <x:c r="J26" s="25" t="str"/>
      <x:c r="K26" s="25" t="str"/>
    </x:row>
    <x:row r="27">
      <x:c r="A27" s="25" t="str">
        <x:v>M5</x:v>
      </x:c>
      <x:c r="B27" s="25" t="str">
        <x:v>M5-01</x:v>
      </x:c>
      <x:c r="C27" s="25" t="str">
        <x:v>First supervised 50-document batch</x:v>
      </x:c>
      <x:c r="D27" s="25" t="str">
        <x:v>P0</x:v>
      </x:c>
      <x:c r="E27" s="25" t="str">
        <x:v>Pilot</x:v>
      </x:c>
      <x:c r="F27" s="25" t="str">
        <x:v>Pilot Scorecard</x:v>
      </x:c>
      <x:c r="G27" s="25" t="str">
        <x:v>Batch completes end-to-end</x:v>
      </x:c>
      <x:c r="H27" s="25" t="str">
        <x:v>M4</x:v>
      </x:c>
      <x:c r="I27" s="25" t="str">
        <x:v>NOT_STARTED</x:v>
      </x:c>
      <x:c r="J27" s="25" t="str"/>
      <x:c r="K27" s="25" t="str"/>
    </x:row>
    <x:row r="28">
      <x:c r="A28" s="25" t="str">
        <x:v>M5</x:v>
      </x:c>
      <x:c r="B28" s="25" t="str">
        <x:v>M5-02</x:v>
      </x:c>
      <x:c r="C28" s="25" t="str">
        <x:v>Correction taxonomy and root causes</x:v>
      </x:c>
      <x:c r="D28" s="25" t="str">
        <x:v>P0</x:v>
      </x:c>
      <x:c r="E28" s="25" t="str">
        <x:v>Data/Product</x:v>
      </x:c>
      <x:c r="F28" s="25" t="str">
        <x:v>06_EVALUATION_TEST_PLAN</x:v>
      </x:c>
      <x:c r="G28" s="25" t="str">
        <x:v>Every correction categorized</x:v>
      </x:c>
      <x:c r="H28" s="25" t="str">
        <x:v>M5-01</x:v>
      </x:c>
      <x:c r="I28" s="25" t="str">
        <x:v>NOT_STARTED</x:v>
      </x:c>
      <x:c r="J28" s="25" t="str"/>
      <x:c r="K28" s="25" t="str"/>
    </x:row>
    <x:row r="29">
      <x:c r="A29" s="25" t="str">
        <x:v>M5</x:v>
      </x:c>
      <x:c r="B29" s="25" t="str">
        <x:v>M5-03</x:v>
      </x:c>
      <x:c r="C29" s="25" t="str">
        <x:v>Two-week 500-document pilot</x:v>
      </x:c>
      <x:c r="D29" s="25" t="str">
        <x:v>P0</x:v>
      </x:c>
      <x:c r="E29" s="25" t="str">
        <x:v>Pilot</x:v>
      </x:c>
      <x:c r="F29" s="25" t="str">
        <x:v>Pilot report</x:v>
      </x:c>
      <x:c r="G29" s="25" t="str">
        <x:v>Volume target completed</x:v>
      </x:c>
      <x:c r="H29" s="25" t="str">
        <x:v>M5-01</x:v>
      </x:c>
      <x:c r="I29" s="25" t="str">
        <x:v>NOT_STARTED</x:v>
      </x:c>
      <x:c r="J29" s="25" t="str"/>
      <x:c r="K29" s="25" t="str"/>
    </x:row>
    <x:row r="30">
      <x:c r="A30" s="25" t="str">
        <x:v>M5</x:v>
      </x:c>
      <x:c r="B30" s="25" t="str">
        <x:v>M5-04</x:v>
      </x:c>
      <x:c r="C30" s="25" t="str">
        <x:v>Measure safety speed and cost gates</x:v>
      </x:c>
      <x:c r="D30" s="25" t="str">
        <x:v>P0</x:v>
      </x:c>
      <x:c r="E30" s="25" t="str">
        <x:v>Data/Product</x:v>
      </x:c>
      <x:c r="F30" s="25" t="str">
        <x:v>Workbook dashboard</x:v>
      </x:c>
      <x:c r="G30" s="25" t="str">
        <x:v>Release metrics computed</x:v>
      </x:c>
      <x:c r="H30" s="25" t="str">
        <x:v>M5-03</x:v>
      </x:c>
      <x:c r="I30" s="25" t="str">
        <x:v>NOT_STARTED</x:v>
      </x:c>
      <x:c r="J30" s="25" t="str"/>
      <x:c r="K30" s="25" t="str"/>
    </x:row>
    <x:row r="31">
      <x:c r="A31" s="25" t="str">
        <x:v>M5</x:v>
      </x:c>
      <x:c r="B31" s="25" t="str">
        <x:v>M5-05</x:v>
      </x:c>
      <x:c r="C31" s="25" t="str">
        <x:v>Regression after every change</x:v>
      </x:c>
      <x:c r="D31" s="25" t="str">
        <x:v>P0</x:v>
      </x:c>
      <x:c r="E31" s="25" t="str">
        <x:v>Data/Engineering</x:v>
      </x:c>
      <x:c r="F31" s="25" t="str">
        <x:v>Benchmark reports</x:v>
      </x:c>
      <x:c r="G31" s="25" t="str">
        <x:v>Frozen holdout never bypassed</x:v>
      </x:c>
      <x:c r="H31" s="25" t="str">
        <x:v>M5-02</x:v>
      </x:c>
      <x:c r="I31" s="25" t="str">
        <x:v>NOT_STARTED</x:v>
      </x:c>
      <x:c r="J31" s="25" t="str"/>
      <x:c r="K31" s="25" t="str"/>
    </x:row>
    <x:row r="32">
      <x:c r="A32" s="25" t="str">
        <x:v>M5</x:v>
      </x:c>
      <x:c r="B32" s="25" t="str">
        <x:v>M5-06</x:v>
      </x:c>
      <x:c r="C32" s="25" t="str">
        <x:v>Operator debrief and willingness to pay</x:v>
      </x:c>
      <x:c r="D32" s="25" t="str">
        <x:v>P0</x:v>
      </x:c>
      <x:c r="E32" s="25" t="str">
        <x:v>Founder/Product</x:v>
      </x:c>
      <x:c r="F32" s="25" t="str">
        <x:v>09_BUSINESS_VALIDATION</x:v>
      </x:c>
      <x:c r="G32" s="25" t="str">
        <x:v>Commercial signal recorded</x:v>
      </x:c>
      <x:c r="H32" s="25" t="str">
        <x:v>M5-03</x:v>
      </x:c>
      <x:c r="I32" s="25" t="str">
        <x:v>NOT_STARTED</x:v>
      </x:c>
      <x:c r="J32" s="25" t="str"/>
      <x:c r="K32" s="25" t="str"/>
    </x:row>
    <x:row r="33">
      <x:c r="A33" s="25" t="str">
        <x:v>M5</x:v>
      </x:c>
      <x:c r="B33" s="25" t="str">
        <x:v>M5-07</x:v>
      </x:c>
      <x:c r="C33" s="25" t="str">
        <x:v>Go iterate stop decision</x:v>
      </x:c>
      <x:c r="D33" s="25" t="str">
        <x:v>P0</x:v>
      </x:c>
      <x:c r="E33" s="25" t="str">
        <x:v>Founder</x:v>
      </x:c>
      <x:c r="F33" s="25" t="str">
        <x:v>Decision record</x:v>
      </x:c>
      <x:c r="G33" s="25" t="str">
        <x:v>Evidence-backed decision</x:v>
      </x:c>
      <x:c r="H33" s="25" t="str">
        <x:v>M5-04,M5-06</x:v>
      </x:c>
      <x:c r="I33" s="25" t="str">
        <x:v>NOT_STARTED</x:v>
      </x:c>
      <x:c r="J33" s="25" t="str"/>
      <x:c r="K33" s="25" t="str"/>
    </x:row>
  </x:sheetData>
  <x:conditionalFormatting sqref="I2:I33">
    <x:cfRule type="expression" dxfId="4" priority="1">
      <x:formula>I2="DONE"</x:formula>
    </x:cfRule>
    <x:cfRule type="expression" dxfId="5" priority="2">
      <x:formula>I2="BLOCKED"</x:formula>
    </x:cfRule>
    <x:cfRule type="expression" dxfId="6" priority="3">
      <x:formula>I2="IN_PROGRESS"</x:formula>
    </x:cfRule>
  </x:conditionalFormatting>
  <x:dataValidations count="1">
    <x:dataValidation type="list" sqref="I2:I33">
      <x:formula1>"NOT_STARTED,IN_PROGRESS,BLOCKED,DONE,DEFERRED"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6d269c6e54d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2" hidden="0" customWidth="1"/>
    <x:col min="5" max="5" width="16" hidden="0" customWidth="1"/>
    <x:col min="6" max="6" width="10" hidden="0" customWidth="1"/>
    <x:col min="7" max="7" width="10" hidden="0" customWidth="1"/>
    <x:col min="8" max="8" width="20" hidden="0" customWidth="1"/>
    <x:col min="9" max="9" width="20" hidden="0" customWidth="1"/>
    <x:col min="10" max="10" width="28" hidden="0" customWidth="1"/>
    <x:col min="11" max="11" width="28" hidden="0" customWidth="1"/>
    <x:col min="12" max="12" width="42" hidden="0" customWidth="1"/>
    <x:col min="13" max="13" width="24" hidden="0" customWidth="1"/>
    <x:col min="14" max="14" width="16" hidden="0" customWidth="1"/>
  </x:cols>
  <x:sheetData>
    <x:row r="1">
      <x:c r="A1" s="18" t="str">
        <x:v>Fixture ID</x:v>
      </x:c>
      <x:c r="B1" s="18" t="str">
        <x:v>File</x:v>
      </x:c>
      <x:c r="C1" s="18" t="str">
        <x:v>Kind</x:v>
      </x:c>
      <x:c r="D1" s="18" t="str">
        <x:v>Split</x:v>
      </x:c>
      <x:c r="E1" s="18" t="str">
        <x:v>Document Type</x:v>
      </x:c>
      <x:c r="F1" s="18" t="str">
        <x:v>Currency</x:v>
      </x:c>
      <x:c r="G1" s="18" t="str">
        <x:v>Country</x:v>
      </x:c>
      <x:c r="H1" s="18" t="str">
        <x:v>Expected Route</x:v>
      </x:c>
      <x:c r="I1" s="18" t="str">
        <x:v>Expected Status</x:v>
      </x:c>
      <x:c r="J1" s="18" t="str">
        <x:v>Ground Truth</x:v>
      </x:c>
      <x:c r="K1" s="18" t="str">
        <x:v>Expected Findings</x:v>
      </x:c>
      <x:c r="L1" s="18" t="str">
        <x:v>Notes</x:v>
      </x:c>
      <x:c r="M1" s="18" t="str">
        <x:v>SHA-256</x:v>
      </x:c>
      <x:c r="N1" s="18" t="str">
        <x:v>Has Ground Truth</x:v>
      </x:c>
    </x:row>
    <x:row r="2">
      <x:c r="A2" s="25" t="str">
        <x:v>INV-001</x:v>
      </x:c>
      <x:c r="B2" s="25" t="str">
        <x:v>documents/pdf/inv-001_us_office_supplies_with_sales_tax.pdf</x:v>
      </x:c>
      <x:c r="C2" s="25" t="str">
        <x:v>visual_pdf</x:v>
      </x:c>
      <x:c r="D2" s="25" t="str">
        <x:v>functional</x:v>
      </x:c>
      <x:c r="E2" s="25" t="str">
        <x:v>invoice</x:v>
      </x:c>
      <x:c r="F2" s="25" t="str">
        <x:v>USD</x:v>
      </x:c>
      <x:c r="G2" s="25" t="str">
        <x:v>US</x:v>
      </x:c>
      <x:c r="H2" s="25" t="str">
        <x:v>visual_model</x:v>
      </x:c>
      <x:c r="I2" s="25" t="str">
        <x:v>ready_for_approval</x:v>
      </x:c>
      <x:c r="J2" s="25" t="str">
        <x:v>ground_truth/INV-001.json</x:v>
      </x:c>
      <x:c r="K2" s="25" t="str">
        <x:v>expected_findings/INV-001.json</x:v>
      </x:c>
      <x:c r="L2" s="25" t="str">
        <x:v>US office supplies with sales tax</x:v>
      </x:c>
      <x:c r="M2" s="25" t="str">
        <x:v>690965410e83325cf79f837fb7dbb574ebf0a1cfa0b776766f880dd0c0b83912</x:v>
      </x:c>
      <x:c r="N2" s="25" t="n">
        <x:v>1</x:v>
      </x:c>
    </x:row>
    <x:row r="3">
      <x:c r="A3" s="25" t="str">
        <x:v>INV-002</x:v>
      </x:c>
      <x:c r="B3" s="25" t="str">
        <x:v>documents/pdf/inv-002_uk_vat_services_invoice.pdf</x:v>
      </x:c>
      <x:c r="C3" s="25" t="str">
        <x:v>visual_pdf</x:v>
      </x:c>
      <x:c r="D3" s="25" t="str">
        <x:v>functional</x:v>
      </x:c>
      <x:c r="E3" s="25" t="str">
        <x:v>invoice</x:v>
      </x:c>
      <x:c r="F3" s="25" t="str">
        <x:v>GBP</x:v>
      </x:c>
      <x:c r="G3" s="25" t="str">
        <x:v>GB</x:v>
      </x:c>
      <x:c r="H3" s="25" t="str">
        <x:v>visual_model</x:v>
      </x:c>
      <x:c r="I3" s="25" t="str">
        <x:v>ready_for_approval</x:v>
      </x:c>
      <x:c r="J3" s="25" t="str">
        <x:v>ground_truth/INV-002.json</x:v>
      </x:c>
      <x:c r="K3" s="25" t="str">
        <x:v>expected_findings/INV-002.json</x:v>
      </x:c>
      <x:c r="L3" s="25" t="str">
        <x:v>UK VAT services invoice</x:v>
      </x:c>
      <x:c r="M3" s="25" t="str">
        <x:v>8a3adc79b9434c88ac97414448b06f6cf4f654b1c6d8652f8697a19ef3feb23c</x:v>
      </x:c>
      <x:c r="N3" s="25" t="n">
        <x:v>1</x:v>
      </x:c>
    </x:row>
    <x:row r="4">
      <x:c r="A4" s="25" t="str">
        <x:v>INV-003</x:v>
      </x:c>
      <x:c r="B4" s="25" t="str">
        <x:v>documents/pdf/inv-003_eu_cross-border_reverse-charge_invoice.pdf</x:v>
      </x:c>
      <x:c r="C4" s="25" t="str">
        <x:v>visual_pdf</x:v>
      </x:c>
      <x:c r="D4" s="25" t="str">
        <x:v>functional</x:v>
      </x:c>
      <x:c r="E4" s="25" t="str">
        <x:v>invoice</x:v>
      </x:c>
      <x:c r="F4" s="25" t="str">
        <x:v>EUR</x:v>
      </x:c>
      <x:c r="G4" s="25" t="str">
        <x:v>DE</x:v>
      </x:c>
      <x:c r="H4" s="25" t="str">
        <x:v>visual_model</x:v>
      </x:c>
      <x:c r="I4" s="25" t="str">
        <x:v>ready_for_approval</x:v>
      </x:c>
      <x:c r="J4" s="25" t="str">
        <x:v>ground_truth/INV-003.json</x:v>
      </x:c>
      <x:c r="K4" s="25" t="str">
        <x:v>expected_findings/INV-003.json</x:v>
      </x:c>
      <x:c r="L4" s="25" t="str">
        <x:v>EU cross-border reverse-charge invoice</x:v>
      </x:c>
      <x:c r="M4" s="25" t="str">
        <x:v>44e93f6ea3faa4970bbc94dab3df01c455dca23ec296af14bdb532df254e3841</x:v>
      </x:c>
      <x:c r="N4" s="25" t="n">
        <x:v>1</x:v>
      </x:c>
    </x:row>
    <x:row r="5">
      <x:c r="A5" s="25" t="str">
        <x:v>INV-004</x:v>
      </x:c>
      <x:c r="B5" s="25" t="str">
        <x:v>documents/pdf/inv-004_india_gst_goods_invoice.pdf</x:v>
      </x:c>
      <x:c r="C5" s="25" t="str">
        <x:v>visual_pdf</x:v>
      </x:c>
      <x:c r="D5" s="25" t="str">
        <x:v>functional</x:v>
      </x:c>
      <x:c r="E5" s="25" t="str">
        <x:v>invoice</x:v>
      </x:c>
      <x:c r="F5" s="25" t="str">
        <x:v>INR</x:v>
      </x:c>
      <x:c r="G5" s="25" t="str">
        <x:v>IN</x:v>
      </x:c>
      <x:c r="H5" s="25" t="str">
        <x:v>visual_model</x:v>
      </x:c>
      <x:c r="I5" s="25" t="str">
        <x:v>ready_for_approval</x:v>
      </x:c>
      <x:c r="J5" s="25" t="str">
        <x:v>ground_truth/INV-004.json</x:v>
      </x:c>
      <x:c r="K5" s="25" t="str">
        <x:v>expected_findings/INV-004.json</x:v>
      </x:c>
      <x:c r="L5" s="25" t="str">
        <x:v>India GST goods invoice</x:v>
      </x:c>
      <x:c r="M5" s="25" t="str">
        <x:v>07741f809d40f929fa65b0c2c3c60fa1e99a065b24824a8c7b8718ece2f861ce</x:v>
      </x:c>
      <x:c r="N5" s="25" t="n">
        <x:v>1</x:v>
      </x:c>
    </x:row>
    <x:row r="6">
      <x:c r="A6" s="25" t="str">
        <x:v>INV-005</x:v>
      </x:c>
      <x:c r="B6" s="25" t="str">
        <x:v>documents/pdf/inv-005_japan_jpy_zero-decimal_invoice.pdf</x:v>
      </x:c>
      <x:c r="C6" s="25" t="str">
        <x:v>visual_pdf</x:v>
      </x:c>
      <x:c r="D6" s="25" t="str">
        <x:v>functional</x:v>
      </x:c>
      <x:c r="E6" s="25" t="str">
        <x:v>invoice</x:v>
      </x:c>
      <x:c r="F6" s="25" t="str">
        <x:v>JPY</x:v>
      </x:c>
      <x:c r="G6" s="25" t="str">
        <x:v>JP</x:v>
      </x:c>
      <x:c r="H6" s="25" t="str">
        <x:v>visual_model</x:v>
      </x:c>
      <x:c r="I6" s="25" t="str">
        <x:v>ready_for_approval</x:v>
      </x:c>
      <x:c r="J6" s="25" t="str">
        <x:v>ground_truth/INV-005.json</x:v>
      </x:c>
      <x:c r="K6" s="25" t="str">
        <x:v>expected_findings/INV-005.json</x:v>
      </x:c>
      <x:c r="L6" s="25" t="str">
        <x:v>Japan JPY zero-decimal invoice</x:v>
      </x:c>
      <x:c r="M6" s="25" t="str">
        <x:v>f4e670a4a0bccb942a3e63bebede02a4b4b7d85c34eda038f785cce425f655b4</x:v>
      </x:c>
      <x:c r="N6" s="25" t="n">
        <x:v>1</x:v>
      </x:c>
    </x:row>
    <x:row r="7">
      <x:c r="A7" s="25" t="str">
        <x:v>INV-006</x:v>
      </x:c>
      <x:c r="B7" s="25" t="str">
        <x:v>documents/pdf/inv-006_kwd_three-decimal_currency_invoice.pdf</x:v>
      </x:c>
      <x:c r="C7" s="25" t="str">
        <x:v>visual_pdf</x:v>
      </x:c>
      <x:c r="D7" s="25" t="str">
        <x:v>functional</x:v>
      </x:c>
      <x:c r="E7" s="25" t="str">
        <x:v>invoice</x:v>
      </x:c>
      <x:c r="F7" s="25" t="str">
        <x:v>KWD</x:v>
      </x:c>
      <x:c r="G7" s="25" t="str">
        <x:v>KW</x:v>
      </x:c>
      <x:c r="H7" s="25" t="str">
        <x:v>visual_model</x:v>
      </x:c>
      <x:c r="I7" s="25" t="str">
        <x:v>ready_for_approval</x:v>
      </x:c>
      <x:c r="J7" s="25" t="str">
        <x:v>ground_truth/INV-006.json</x:v>
      </x:c>
      <x:c r="K7" s="25" t="str">
        <x:v>expected_findings/INV-006.json</x:v>
      </x:c>
      <x:c r="L7" s="25" t="str">
        <x:v>KWD three-decimal currency invoice</x:v>
      </x:c>
      <x:c r="M7" s="25" t="str">
        <x:v>b88af361a17358040e4e35bfd2d76c14b0399a483fb76d6eae2f0b9157245d1f</x:v>
      </x:c>
      <x:c r="N7" s="25" t="n">
        <x:v>1</x:v>
      </x:c>
    </x:row>
    <x:row r="8">
      <x:c r="A8" s="25" t="str">
        <x:v>INV-007</x:v>
      </x:c>
      <x:c r="B8" s="25" t="str">
        <x:v>documents/pdf/inv-007_uae_vat_invoice.pdf</x:v>
      </x:c>
      <x:c r="C8" s="25" t="str">
        <x:v>visual_pdf</x:v>
      </x:c>
      <x:c r="D8" s="25" t="str">
        <x:v>functional</x:v>
      </x:c>
      <x:c r="E8" s="25" t="str">
        <x:v>invoice</x:v>
      </x:c>
      <x:c r="F8" s="25" t="str">
        <x:v>AED</x:v>
      </x:c>
      <x:c r="G8" s="25" t="str">
        <x:v>AE</x:v>
      </x:c>
      <x:c r="H8" s="25" t="str">
        <x:v>visual_model</x:v>
      </x:c>
      <x:c r="I8" s="25" t="str">
        <x:v>ready_for_approval</x:v>
      </x:c>
      <x:c r="J8" s="25" t="str">
        <x:v>ground_truth/INV-007.json</x:v>
      </x:c>
      <x:c r="K8" s="25" t="str">
        <x:v>expected_findings/INV-007.json</x:v>
      </x:c>
      <x:c r="L8" s="25" t="str">
        <x:v>UAE VAT invoice</x:v>
      </x:c>
      <x:c r="M8" s="25" t="str">
        <x:v>e6df96e8e1c14e49ca2289151720b7510fc546c16680a0a258152191ebd8b577</x:v>
      </x:c>
      <x:c r="N8" s="25" t="n">
        <x:v>1</x:v>
      </x:c>
    </x:row>
    <x:row r="9">
      <x:c r="A9" s="25" t="str">
        <x:v>INV-008</x:v>
      </x:c>
      <x:c r="B9" s="25" t="str">
        <x:v>documents/pdf/inv-008_canada_hst_invoice.pdf</x:v>
      </x:c>
      <x:c r="C9" s="25" t="str">
        <x:v>visual_pdf</x:v>
      </x:c>
      <x:c r="D9" s="25" t="str">
        <x:v>functional</x:v>
      </x:c>
      <x:c r="E9" s="25" t="str">
        <x:v>invoice</x:v>
      </x:c>
      <x:c r="F9" s="25" t="str">
        <x:v>CAD</x:v>
      </x:c>
      <x:c r="G9" s="25" t="str">
        <x:v>CA</x:v>
      </x:c>
      <x:c r="H9" s="25" t="str">
        <x:v>visual_model</x:v>
      </x:c>
      <x:c r="I9" s="25" t="str">
        <x:v>ready_for_approval</x:v>
      </x:c>
      <x:c r="J9" s="25" t="str">
        <x:v>ground_truth/INV-008.json</x:v>
      </x:c>
      <x:c r="K9" s="25" t="str">
        <x:v>expected_findings/INV-008.json</x:v>
      </x:c>
      <x:c r="L9" s="25" t="str">
        <x:v>Canada HST invoice</x:v>
      </x:c>
      <x:c r="M9" s="25" t="str">
        <x:v>3f3a6800f91a51fc404fb74d24fc0f5c2fb33e3e216c665ba18d1d067d19344f</x:v>
      </x:c>
      <x:c r="N9" s="25" t="n">
        <x:v>1</x:v>
      </x:c>
    </x:row>
    <x:row r="10">
      <x:c r="A10" s="25" t="str">
        <x:v>INV-009</x:v>
      </x:c>
      <x:c r="B10" s="25" t="str">
        <x:v>documents/pdf/inv-009_eur_credit_note.pdf</x:v>
      </x:c>
      <x:c r="C10" s="25" t="str">
        <x:v>visual_pdf</x:v>
      </x:c>
      <x:c r="D10" s="25" t="str">
        <x:v>functional</x:v>
      </x:c>
      <x:c r="E10" s="25" t="str">
        <x:v>credit_note</x:v>
      </x:c>
      <x:c r="F10" s="25" t="str">
        <x:v>EUR</x:v>
      </x:c>
      <x:c r="G10" s="25" t="str">
        <x:v>DE</x:v>
      </x:c>
      <x:c r="H10" s="25" t="str">
        <x:v>visual_model</x:v>
      </x:c>
      <x:c r="I10" s="25" t="str">
        <x:v>ready_for_approval</x:v>
      </x:c>
      <x:c r="J10" s="25" t="str">
        <x:v>ground_truth/INV-009.json</x:v>
      </x:c>
      <x:c r="K10" s="25" t="str">
        <x:v>expected_findings/INV-009.json</x:v>
      </x:c>
      <x:c r="L10" s="25" t="str">
        <x:v>EUR credit note</x:v>
      </x:c>
      <x:c r="M10" s="25" t="str">
        <x:v>22bcb923c3aade01790db1ffa4348036075e4f4068e8e85607efbedeeff7037a</x:v>
      </x:c>
      <x:c r="N10" s="25" t="n">
        <x:v>1</x:v>
      </x:c>
    </x:row>
    <x:row r="11">
      <x:c r="A11" s="25" t="str">
        <x:v>INV-010</x:v>
      </x:c>
      <x:c r="B11" s="25" t="str">
        <x:v>documents/pdf/inv-010_simple_retail_receipt.pdf</x:v>
      </x:c>
      <x:c r="C11" s="25" t="str">
        <x:v>visual_pdf</x:v>
      </x:c>
      <x:c r="D11" s="25" t="str">
        <x:v>functional</x:v>
      </x:c>
      <x:c r="E11" s="25" t="str">
        <x:v>receipt</x:v>
      </x:c>
      <x:c r="F11" s="25" t="str">
        <x:v>USD</x:v>
      </x:c>
      <x:c r="G11" s="25" t="str">
        <x:v>US</x:v>
      </x:c>
      <x:c r="H11" s="25" t="str">
        <x:v>visual_model</x:v>
      </x:c>
      <x:c r="I11" s="25" t="str">
        <x:v>ready_for_approval</x:v>
      </x:c>
      <x:c r="J11" s="25" t="str">
        <x:v>ground_truth/INV-010.json</x:v>
      </x:c>
      <x:c r="K11" s="25" t="str">
        <x:v>expected_findings/INV-010.json</x:v>
      </x:c>
      <x:c r="L11" s="25" t="str">
        <x:v>Simple retail receipt</x:v>
      </x:c>
      <x:c r="M11" s="25" t="str">
        <x:v>b3acdc49c3937fd097c1036edfc7609341cbd775a1efc2960c8edb7164be7509</x:v>
      </x:c>
      <x:c r="N11" s="25" t="n">
        <x:v>1</x:v>
      </x:c>
    </x:row>
    <x:row r="12">
      <x:c r="A12" s="25" t="str">
        <x:v>INV-011</x:v>
      </x:c>
      <x:c r="B12" s="25" t="str">
        <x:v>documents/pdf/inv-011_multi-page_line-item_invoice.pdf</x:v>
      </x:c>
      <x:c r="C12" s="25" t="str">
        <x:v>visual_pdf</x:v>
      </x:c>
      <x:c r="D12" s="25" t="str">
        <x:v>functional</x:v>
      </x:c>
      <x:c r="E12" s="25" t="str">
        <x:v>invoice</x:v>
      </x:c>
      <x:c r="F12" s="25" t="str">
        <x:v>EUR</x:v>
      </x:c>
      <x:c r="G12" s="25" t="str">
        <x:v>DE</x:v>
      </x:c>
      <x:c r="H12" s="25" t="str">
        <x:v>visual_model</x:v>
      </x:c>
      <x:c r="I12" s="25" t="str">
        <x:v>ready_for_approval</x:v>
      </x:c>
      <x:c r="J12" s="25" t="str">
        <x:v>ground_truth/INV-011.json</x:v>
      </x:c>
      <x:c r="K12" s="25" t="str">
        <x:v>expected_findings/INV-011.json</x:v>
      </x:c>
      <x:c r="L12" s="25" t="str">
        <x:v>Multi-page line-item invoice</x:v>
      </x:c>
      <x:c r="M12" s="25" t="str">
        <x:v>adc3e19f8ad6e6f703bdd23548720b14971e90954f4cca0cb2b85a9bb529c125</x:v>
      </x:c>
      <x:c r="N12" s="25" t="n">
        <x:v>1</x:v>
      </x:c>
    </x:row>
    <x:row r="13">
      <x:c r="A13" s="25" t="str">
        <x:v>INV-012</x:v>
      </x:c>
      <x:c r="B13" s="25" t="str">
        <x:v>documents/pdf/inv-012_invoice_with_allowance_and_charge.pdf</x:v>
      </x:c>
      <x:c r="C13" s="25" t="str">
        <x:v>visual_pdf</x:v>
      </x:c>
      <x:c r="D13" s="25" t="str">
        <x:v>functional</x:v>
      </x:c>
      <x:c r="E13" s="25" t="str">
        <x:v>invoice</x:v>
      </x:c>
      <x:c r="F13" s="25" t="str">
        <x:v>GBP</x:v>
      </x:c>
      <x:c r="G13" s="25" t="str">
        <x:v>GB</x:v>
      </x:c>
      <x:c r="H13" s="25" t="str">
        <x:v>visual_model</x:v>
      </x:c>
      <x:c r="I13" s="25" t="str">
        <x:v>ready_for_approval</x:v>
      </x:c>
      <x:c r="J13" s="25" t="str">
        <x:v>ground_truth/INV-012.json</x:v>
      </x:c>
      <x:c r="K13" s="25" t="str">
        <x:v>expected_findings/INV-012.json</x:v>
      </x:c>
      <x:c r="L13" s="25" t="str">
        <x:v>Invoice with allowance and charge</x:v>
      </x:c>
      <x:c r="M13" s="25" t="str">
        <x:v>b38261fe267044af54892a422c6d075ebb73cfe02a9b1e01d9fec0336969f787</x:v>
      </x:c>
      <x:c r="N13" s="25" t="n">
        <x:v>1</x:v>
      </x:c>
    </x:row>
    <x:row r="14">
      <x:c r="A14" s="25" t="str">
        <x:v>INV-013</x:v>
      </x:c>
      <x:c r="B14" s="25" t="str">
        <x:v>documents/pdf/inv-013_mexico_vat_and_withholding_invoice.pdf</x:v>
      </x:c>
      <x:c r="C14" s="25" t="str">
        <x:v>visual_pdf</x:v>
      </x:c>
      <x:c r="D14" s="25" t="str">
        <x:v>functional</x:v>
      </x:c>
      <x:c r="E14" s="25" t="str">
        <x:v>invoice</x:v>
      </x:c>
      <x:c r="F14" s="25" t="str">
        <x:v>MXN</x:v>
      </x:c>
      <x:c r="G14" s="25" t="str">
        <x:v>MX</x:v>
      </x:c>
      <x:c r="H14" s="25" t="str">
        <x:v>visual_model</x:v>
      </x:c>
      <x:c r="I14" s="25" t="str">
        <x:v>ready_for_approval</x:v>
      </x:c>
      <x:c r="J14" s="25" t="str">
        <x:v>ground_truth/INV-013.json</x:v>
      </x:c>
      <x:c r="K14" s="25" t="str">
        <x:v>expected_findings/INV-013.json</x:v>
      </x:c>
      <x:c r="L14" s="25" t="str">
        <x:v>Mexico VAT and withholding invoice</x:v>
      </x:c>
      <x:c r="M14" s="25" t="str">
        <x:v>8faef69635fb505f05226fe137e9bdc79c480909666fcc6455657d97a661b8b5</x:v>
      </x:c>
      <x:c r="N14" s="25" t="n">
        <x:v>1</x:v>
      </x:c>
    </x:row>
    <x:row r="15">
      <x:c r="A15" s="25" t="str">
        <x:v>INV-014</x:v>
      </x:c>
      <x:c r="B15" s="25" t="str">
        <x:v>documents/pdf/inv-014_arithmetic_mismatch_invoice.pdf</x:v>
      </x:c>
      <x:c r="C15" s="25" t="str">
        <x:v>visual_pdf</x:v>
      </x:c>
      <x:c r="D15" s="25" t="str">
        <x:v>functional</x:v>
      </x:c>
      <x:c r="E15" s="25" t="str">
        <x:v>invoice</x:v>
      </x:c>
      <x:c r="F15" s="25" t="str">
        <x:v>USD</x:v>
      </x:c>
      <x:c r="G15" s="25" t="str">
        <x:v>US</x:v>
      </x:c>
      <x:c r="H15" s="25" t="str">
        <x:v>visual_model</x:v>
      </x:c>
      <x:c r="I15" s="25" t="str">
        <x:v>needs_review</x:v>
      </x:c>
      <x:c r="J15" s="25" t="str">
        <x:v>ground_truth/INV-014.json</x:v>
      </x:c>
      <x:c r="K15" s="25" t="str">
        <x:v>expected_findings/INV-014.json</x:v>
      </x:c>
      <x:c r="L15" s="25" t="str">
        <x:v>Arithmetic mismatch invoice</x:v>
      </x:c>
      <x:c r="M15" s="25" t="str">
        <x:v>b58f3fc0a773fe1ed270abdbb70079f74b819feedc0ad0d07073e06c88d4743c</x:v>
      </x:c>
      <x:c r="N15" s="25" t="n">
        <x:v>1</x:v>
      </x:c>
    </x:row>
    <x:row r="16">
      <x:c r="A16" s="25" t="str">
        <x:v>INV-015</x:v>
      </x:c>
      <x:c r="B16" s="25" t="str">
        <x:v>documents/pdf/inv-015_missing_currency_invoice.pdf</x:v>
      </x:c>
      <x:c r="C16" s="25" t="str">
        <x:v>visual_pdf</x:v>
      </x:c>
      <x:c r="D16" s="25" t="str">
        <x:v>functional</x:v>
      </x:c>
      <x:c r="E16" s="25" t="str">
        <x:v>invoice</x:v>
      </x:c>
      <x:c r="F16" s="25" t="str">
        <x:v>UNKNOWN</x:v>
      </x:c>
      <x:c r="G16" s="25" t="str">
        <x:v>GB</x:v>
      </x:c>
      <x:c r="H16" s="25" t="str">
        <x:v>visual_model</x:v>
      </x:c>
      <x:c r="I16" s="25" t="str">
        <x:v>needs_review</x:v>
      </x:c>
      <x:c r="J16" s="25" t="str">
        <x:v>ground_truth/INV-015.json</x:v>
      </x:c>
      <x:c r="K16" s="25" t="str">
        <x:v>expected_findings/INV-015.json</x:v>
      </x:c>
      <x:c r="L16" s="25" t="str">
        <x:v>Missing currency invoice</x:v>
      </x:c>
      <x:c r="M16" s="25" t="str">
        <x:v>d765ac21483fdfcb58c64ed6aa00ae511c05a2f8bb18f6c53f02704a1759a02a</x:v>
      </x:c>
      <x:c r="N16" s="25" t="n">
        <x:v>1</x:v>
      </x:c>
    </x:row>
    <x:row r="17">
      <x:c r="A17" s="25" t="str">
        <x:v>INV-016</x:v>
      </x:c>
      <x:c r="B17" s="25" t="str">
        <x:v>documents/pdf/inv-016_ambiguous_invoice_number.pdf</x:v>
      </x:c>
      <x:c r="C17" s="25" t="str">
        <x:v>visual_pdf</x:v>
      </x:c>
      <x:c r="D17" s="25" t="str">
        <x:v>functional</x:v>
      </x:c>
      <x:c r="E17" s="25" t="str">
        <x:v>invoice</x:v>
      </x:c>
      <x:c r="F17" s="25" t="str">
        <x:v>AED</x:v>
      </x:c>
      <x:c r="G17" s="25" t="str">
        <x:v>AE</x:v>
      </x:c>
      <x:c r="H17" s="25" t="str">
        <x:v>visual_model</x:v>
      </x:c>
      <x:c r="I17" s="25" t="str">
        <x:v>needs_review</x:v>
      </x:c>
      <x:c r="J17" s="25" t="str">
        <x:v>ground_truth/INV-016.json</x:v>
      </x:c>
      <x:c r="K17" s="25" t="str">
        <x:v>expected_findings/INV-016.json</x:v>
      </x:c>
      <x:c r="L17" s="25" t="str">
        <x:v>Ambiguous invoice number</x:v>
      </x:c>
      <x:c r="M17" s="25" t="str">
        <x:v>fe80089c37242abb917ae123db6f71df256d86cec97059ae9e65cc2fe0cf41b3</x:v>
      </x:c>
      <x:c r="N17" s="25" t="n">
        <x:v>1</x:v>
      </x:c>
    </x:row>
    <x:row r="18">
      <x:c r="A18" s="25" t="str">
        <x:v>INV-017A</x:v>
      </x:c>
      <x:c r="B18" s="25" t="str">
        <x:v>documents/pdf/inv-017a_duplicate_candidate_original.pdf</x:v>
      </x:c>
      <x:c r="C18" s="25" t="str">
        <x:v>visual_pdf</x:v>
      </x:c>
      <x:c r="D18" s="25" t="str">
        <x:v>functional</x:v>
      </x:c>
      <x:c r="E18" s="25" t="str">
        <x:v>invoice</x:v>
      </x:c>
      <x:c r="F18" s="25" t="str">
        <x:v>CAD</x:v>
      </x:c>
      <x:c r="G18" s="25" t="str">
        <x:v>CA</x:v>
      </x:c>
      <x:c r="H18" s="25" t="str">
        <x:v>visual_model</x:v>
      </x:c>
      <x:c r="I18" s="25" t="str">
        <x:v>ready_for_approval</x:v>
      </x:c>
      <x:c r="J18" s="25" t="str">
        <x:v>ground_truth/INV-017A.json</x:v>
      </x:c>
      <x:c r="K18" s="25" t="str">
        <x:v>expected_findings/INV-017A.json</x:v>
      </x:c>
      <x:c r="L18" s="25" t="str">
        <x:v>Duplicate candidate original</x:v>
      </x:c>
      <x:c r="M18" s="25" t="str">
        <x:v>ac9266f0a4fa3af705da93d514a6728dea19b400318d753888192543b6c8b505</x:v>
      </x:c>
      <x:c r="N18" s="25" t="n">
        <x:v>1</x:v>
      </x:c>
    </x:row>
    <x:row r="19">
      <x:c r="A19" s="25" t="str">
        <x:v>INV-017B</x:v>
      </x:c>
      <x:c r="B19" s="25" t="str">
        <x:v>documents/pdf/inv-017b_duplicate_candidate_copy.pdf</x:v>
      </x:c>
      <x:c r="C19" s="25" t="str">
        <x:v>visual_pdf</x:v>
      </x:c>
      <x:c r="D19" s="25" t="str">
        <x:v>functional</x:v>
      </x:c>
      <x:c r="E19" s="25" t="str">
        <x:v>invoice</x:v>
      </x:c>
      <x:c r="F19" s="25" t="str">
        <x:v>CAD</x:v>
      </x:c>
      <x:c r="G19" s="25" t="str">
        <x:v>CA</x:v>
      </x:c>
      <x:c r="H19" s="25" t="str">
        <x:v>visual_model</x:v>
      </x:c>
      <x:c r="I19" s="25" t="str">
        <x:v>needs_review</x:v>
      </x:c>
      <x:c r="J19" s="25" t="str">
        <x:v>ground_truth/INV-017B.json</x:v>
      </x:c>
      <x:c r="K19" s="25" t="str">
        <x:v>expected_findings/INV-017B.json</x:v>
      </x:c>
      <x:c r="L19" s="25" t="str">
        <x:v>Duplicate candidate copy</x:v>
      </x:c>
      <x:c r="M19" s="25" t="str">
        <x:v>4494b4824d6d2bd3deeb2980719168e6900e1d9de9560909cb05b62faf6ee7e5</x:v>
      </x:c>
      <x:c r="N19" s="25" t="n">
        <x:v>1</x:v>
      </x:c>
    </x:row>
    <x:row r="20">
      <x:c r="A20" s="25" t="str">
        <x:v>IMG-001</x:v>
      </x:c>
      <x:c r="B20" s="25" t="str">
        <x:v>documents/images/IMG-001_blurred_low_resolution_scan.jpg</x:v>
      </x:c>
      <x:c r="C20" s="25" t="str">
        <x:v>image</x:v>
      </x:c>
      <x:c r="D20" s="25" t="str">
        <x:v>functional</x:v>
      </x:c>
      <x:c r="E20" s="25" t="str">
        <x:v>invoice</x:v>
      </x:c>
      <x:c r="F20" s="25" t="str">
        <x:v>GBP</x:v>
      </x:c>
      <x:c r="G20" s="25" t="str">
        <x:v>GB</x:v>
      </x:c>
      <x:c r="H20" s="25" t="str">
        <x:v>visual_model</x:v>
      </x:c>
      <x:c r="I20" s="25" t="str">
        <x:v>needs_review</x:v>
      </x:c>
      <x:c r="J20" s="25" t="str">
        <x:v>ground_truth/IMG-001.json</x:v>
      </x:c>
      <x:c r="K20" s="25" t="str">
        <x:v>expected_findings/IMG-001.json</x:v>
      </x:c>
      <x:c r="L20" s="25" t="str">
        <x:v>LOW_IMAGE_QUALITY</x:v>
      </x:c>
      <x:c r="M20" s="25" t="str">
        <x:v>6efc473b3a4f5dbacdceb06ba941d10d86362626a0540062ad237a204520fd4c</x:v>
      </x:c>
      <x:c r="N20" s="25" t="n">
        <x:v>1</x:v>
      </x:c>
    </x:row>
    <x:row r="21">
      <x:c r="A21" s="25" t="str">
        <x:v>IMG-002</x:v>
      </x:c>
      <x:c r="B21" s="25" t="str">
        <x:v>documents/images/IMG-002_rotated_90_degrees.png</x:v>
      </x:c>
      <x:c r="C21" s="25" t="str">
        <x:v>image</x:v>
      </x:c>
      <x:c r="D21" s="25" t="str">
        <x:v>functional</x:v>
      </x:c>
      <x:c r="E21" s="25" t="str">
        <x:v>invoice</x:v>
      </x:c>
      <x:c r="F21" s="25" t="str">
        <x:v>EUR</x:v>
      </x:c>
      <x:c r="G21" s="25" t="str">
        <x:v>DE</x:v>
      </x:c>
      <x:c r="H21" s="25" t="str">
        <x:v>visual_model</x:v>
      </x:c>
      <x:c r="I21" s="25" t="str">
        <x:v>needs_review</x:v>
      </x:c>
      <x:c r="J21" s="25" t="str">
        <x:v>ground_truth/IMG-002.json</x:v>
      </x:c>
      <x:c r="K21" s="25" t="str">
        <x:v>expected_findings/IMG-002.json</x:v>
      </x:c>
      <x:c r="L21" s="25" t="str">
        <x:v>ROTATION_DETECTED</x:v>
      </x:c>
      <x:c r="M21" s="25" t="str">
        <x:v>e6d00f204dc712df8dd2c6cf38b1f867333a6dfd5d2b3906043ea6e55d3f7afd</x:v>
      </x:c>
      <x:c r="N21" s="25" t="n">
        <x:v>1</x:v>
      </x:c>
    </x:row>
    <x:row r="22">
      <x:c r="A22" s="25" t="str">
        <x:v>IMG-003</x:v>
      </x:c>
      <x:c r="B22" s="25" t="str">
        <x:v>documents/images/IMG-003_phone_photo_skew.jpg</x:v>
      </x:c>
      <x:c r="C22" s="25" t="str">
        <x:v>image</x:v>
      </x:c>
      <x:c r="D22" s="25" t="str">
        <x:v>functional</x:v>
      </x:c>
      <x:c r="E22" s="25" t="str">
        <x:v>invoice</x:v>
      </x:c>
      <x:c r="F22" s="25" t="str">
        <x:v>INR</x:v>
      </x:c>
      <x:c r="G22" s="25" t="str">
        <x:v>IN</x:v>
      </x:c>
      <x:c r="H22" s="25" t="str">
        <x:v>visual_model</x:v>
      </x:c>
      <x:c r="I22" s="25" t="str">
        <x:v>needs_review</x:v>
      </x:c>
      <x:c r="J22" s="25" t="str">
        <x:v>ground_truth/IMG-003.json</x:v>
      </x:c>
      <x:c r="K22" s="25" t="str">
        <x:v>expected_findings/IMG-003.json</x:v>
      </x:c>
      <x:c r="L22" s="25" t="str">
        <x:v>PERSPECTIVE_SKEW</x:v>
      </x:c>
      <x:c r="M22" s="25" t="str">
        <x:v>2417046f9fc3799d385a4478a59d8a540162354e1323c657bde968732c141e8e</x:v>
      </x:c>
      <x:c r="N22" s="25" t="n">
        <x:v>1</x:v>
      </x:c>
    </x:row>
    <x:row r="23">
      <x:c r="A23" s="25" t="str">
        <x:v>IMG-004</x:v>
      </x:c>
      <x:c r="B23" s="25" t="str">
        <x:v>documents/images/IMG-004_receipt.png</x:v>
      </x:c>
      <x:c r="C23" s="25" t="str">
        <x:v>image</x:v>
      </x:c>
      <x:c r="D23" s="25" t="str">
        <x:v>functional</x:v>
      </x:c>
      <x:c r="E23" s="25" t="str">
        <x:v>receipt</x:v>
      </x:c>
      <x:c r="F23" s="25" t="str">
        <x:v>USD</x:v>
      </x:c>
      <x:c r="G23" s="25" t="str">
        <x:v>US</x:v>
      </x:c>
      <x:c r="H23" s="25" t="str">
        <x:v>visual_model</x:v>
      </x:c>
      <x:c r="I23" s="25" t="str">
        <x:v>ready_for_approval</x:v>
      </x:c>
      <x:c r="J23" s="25" t="str">
        <x:v>ground_truth/IMG-004.json</x:v>
      </x:c>
      <x:c r="K23" s="25" t="str">
        <x:v>expected_findings/IMG-004.json</x:v>
      </x:c>
      <x:c r="L23" s="25" t="str">
        <x:v>clean image fixture</x:v>
      </x:c>
      <x:c r="M23" s="25" t="str">
        <x:v>edca0c0213c8e824a4ddb990f16242ca1b61c242b2bc40ad508eaeab23ec4ff0</x:v>
      </x:c>
      <x:c r="N23" s="25" t="n">
        <x:v>1</x:v>
      </x:c>
    </x:row>
    <x:row r="24">
      <x:c r="A24" s="25" t="str">
        <x:v>IMG-005</x:v>
      </x:c>
      <x:c r="B24" s="25" t="str">
        <x:v>documents/images/IMG-005_multipage_invoice.tiff</x:v>
      </x:c>
      <x:c r="C24" s="25" t="str">
        <x:v>image</x:v>
      </x:c>
      <x:c r="D24" s="25" t="str">
        <x:v>functional</x:v>
      </x:c>
      <x:c r="E24" s="25" t="str">
        <x:v>invoice</x:v>
      </x:c>
      <x:c r="F24" s="25" t="str">
        <x:v>EUR</x:v>
      </x:c>
      <x:c r="G24" s="25" t="str">
        <x:v>DE</x:v>
      </x:c>
      <x:c r="H24" s="25" t="str">
        <x:v>visual_model</x:v>
      </x:c>
      <x:c r="I24" s="25" t="str">
        <x:v>ready_for_approval</x:v>
      </x:c>
      <x:c r="J24" s="25" t="str">
        <x:v>ground_truth/IMG-005.json</x:v>
      </x:c>
      <x:c r="K24" s="25" t="str">
        <x:v>expected_findings/IMG-005.json</x:v>
      </x:c>
      <x:c r="L24" s="25" t="str">
        <x:v>clean image fixture</x:v>
      </x:c>
      <x:c r="M24" s="25" t="str">
        <x:v>c7c5a8d7d78e64f6ab5a97f5072df97cb97e574b369b8e5a505067119306c3a7</x:v>
      </x:c>
      <x:c r="N24" s="25" t="n">
        <x:v>1</x:v>
      </x:c>
    </x:row>
    <x:row r="25">
      <x:c r="A25" s="25" t="str">
        <x:v>XML-001</x:v>
      </x:c>
      <x:c r="B25" s="25" t="str">
        <x:v>documents/structured/XML-001_synthetic_ubl_invoice.xml</x:v>
      </x:c>
      <x:c r="C25" s="25" t="str">
        <x:v>ubl_xml</x:v>
      </x:c>
      <x:c r="D25" s="25" t="str">
        <x:v>functional</x:v>
      </x:c>
      <x:c r="E25" s="25" t="str">
        <x:v>invoice</x:v>
      </x:c>
      <x:c r="F25" s="25" t="str">
        <x:v>EUR</x:v>
      </x:c>
      <x:c r="G25" s="25" t="str">
        <x:v>DE</x:v>
      </x:c>
      <x:c r="H25" s="25" t="str">
        <x:v>structured_parser</x:v>
      </x:c>
      <x:c r="I25" s="25" t="str">
        <x:v>ready_for_approval</x:v>
      </x:c>
      <x:c r="J25" s="25" t="str">
        <x:v>ground_truth/XML-001.json</x:v>
      </x:c>
      <x:c r="K25" s="25" t="str">
        <x:v>expected_findings/XML-001.json</x:v>
      </x:c>
      <x:c r="L25" s="25" t="str">
        <x:v>Synthetic UBL-shaped functional fixture; not an official conformance sample</x:v>
      </x:c>
      <x:c r="M25" s="25" t="str">
        <x:v>11ac33ba2f6bca0b191a9add898459a63c52b4cfdd29ac0b66e3f4608d19d121</x:v>
      </x:c>
      <x:c r="N25" s="25" t="n">
        <x:v>1</x:v>
      </x:c>
    </x:row>
    <x:row r="26">
      <x:c r="A26" s="25" t="str">
        <x:v>XML-002</x:v>
      </x:c>
      <x:c r="B26" s="25" t="str">
        <x:v>documents/structured/XML-002_unknown_profile.xml</x:v>
      </x:c>
      <x:c r="C26" s="25" t="str">
        <x:v>unknown_xml</x:v>
      </x:c>
      <x:c r="D26" s="25" t="str">
        <x:v>negative</x:v>
      </x:c>
      <x:c r="E26" s="25" t="str">
        <x:v>unknown</x:v>
      </x:c>
      <x:c r="F26" s="25" t="str">
        <x:v>UNKNOWN</x:v>
      </x:c>
      <x:c r="G26" s="25" t="str">
        <x:v>UNKNOWN</x:v>
      </x:c>
      <x:c r="H26" s="25" t="str">
        <x:v>quarantine</x:v>
      </x:c>
      <x:c r="I26" s="25" t="str">
        <x:v>quarantined</x:v>
      </x:c>
      <x:c r="J26" s="25" t="str"/>
      <x:c r="K26" s="25" t="str">
        <x:v>expected_findings/XML-002.json</x:v>
      </x:c>
      <x:c r="L26" s="25" t="str">
        <x:v>Unknown XML must not silently fall back to vision</x:v>
      </x:c>
      <x:c r="M26" s="25" t="str">
        <x:v>69b5f9ceee17decf31ca8f2fa3a09ac6257178f8a3d03a55c5dd7ea0abe4e383</x:v>
      </x:c>
      <x:c r="N26" s="25" t="n">
        <x:v>0</x:v>
      </x:c>
    </x:row>
    <x:row r="27">
      <x:c r="A27" s="25" t="str">
        <x:v>HYB-001</x:v>
      </x:c>
      <x:c r="B27" s="25" t="str">
        <x:v>documents/pdf/HYB-001_hybrid_pdf_with_embedded_ubl.pdf</x:v>
      </x:c>
      <x:c r="C27" s="25" t="str">
        <x:v>hybrid_pdf_xml</x:v>
      </x:c>
      <x:c r="D27" s="25" t="str">
        <x:v>functional</x:v>
      </x:c>
      <x:c r="E27" s="25" t="str">
        <x:v>invoice</x:v>
      </x:c>
      <x:c r="F27" s="25" t="str">
        <x:v>EUR</x:v>
      </x:c>
      <x:c r="G27" s="25" t="str">
        <x:v>DE</x:v>
      </x:c>
      <x:c r="H27" s="25" t="str">
        <x:v>hybrid_compare</x:v>
      </x:c>
      <x:c r="I27" s="25" t="str">
        <x:v>ready_for_approval</x:v>
      </x:c>
      <x:c r="J27" s="25" t="str">
        <x:v>ground_truth/HYB-001.json</x:v>
      </x:c>
      <x:c r="K27" s="25" t="str">
        <x:v>expected_findings/HYB-001.json</x:v>
      </x:c>
      <x:c r="L27" s="25" t="str">
        <x:v>PDF with embedded synthetic UBL attachment</x:v>
      </x:c>
      <x:c r="M27" s="25" t="str">
        <x:v>9c97c852769406795953cbc2d29bafd5eacfbbf1577054c2185766e3a5fc00b2</x:v>
      </x:c>
      <x:c r="N27" s="25" t="n">
        <x:v>1</x:v>
      </x:c>
    </x:row>
    <x:row r="28">
      <x:c r="A28" s="25" t="str">
        <x:v>BAD-001</x:v>
      </x:c>
      <x:c r="B28" s="25" t="str">
        <x:v>documents/unsafe/BAD-001_password_protected.pdf</x:v>
      </x:c>
      <x:c r="C28" s="25" t="str">
        <x:v>unsafe_input</x:v>
      </x:c>
      <x:c r="D28" s="25" t="str">
        <x:v>negative</x:v>
      </x:c>
      <x:c r="E28" s="25" t="str">
        <x:v>unknown</x:v>
      </x:c>
      <x:c r="F28" s="25" t="str">
        <x:v>UNKNOWN</x:v>
      </x:c>
      <x:c r="G28" s="25" t="str">
        <x:v>UNKNOWN</x:v>
      </x:c>
      <x:c r="H28" s="25" t="str">
        <x:v>quarantine</x:v>
      </x:c>
      <x:c r="I28" s="25" t="str">
        <x:v>quarantined</x:v>
      </x:c>
      <x:c r="J28" s="25" t="str"/>
      <x:c r="K28" s="25" t="str">
        <x:v>expected_findings/BAD-001.json</x:v>
      </x:c>
      <x:c r="L28" s="25" t="str">
        <x:v>Password-protected PDF must be rejected without password cracking</x:v>
      </x:c>
      <x:c r="M28" s="25" t="str">
        <x:v>1d954e8a7d66e4a80bae2b689ffd5965ab4564a5514701b2db2257c2c26a5398</x:v>
      </x:c>
      <x:c r="N28" s="25" t="n">
        <x:v>0</x:v>
      </x:c>
    </x:row>
    <x:row r="29">
      <x:c r="A29" s="25" t="str">
        <x:v>BAD-002</x:v>
      </x:c>
      <x:c r="B29" s="25" t="str">
        <x:v>documents/unsafe/BAD-002_truncated_corrupt.pdf</x:v>
      </x:c>
      <x:c r="C29" s="25" t="str">
        <x:v>unsafe_input</x:v>
      </x:c>
      <x:c r="D29" s="25" t="str">
        <x:v>negative</x:v>
      </x:c>
      <x:c r="E29" s="25" t="str">
        <x:v>unknown</x:v>
      </x:c>
      <x:c r="F29" s="25" t="str">
        <x:v>UNKNOWN</x:v>
      </x:c>
      <x:c r="G29" s="25" t="str">
        <x:v>UNKNOWN</x:v>
      </x:c>
      <x:c r="H29" s="25" t="str">
        <x:v>quarantine</x:v>
      </x:c>
      <x:c r="I29" s="25" t="str">
        <x:v>quarantined</x:v>
      </x:c>
      <x:c r="J29" s="25" t="str"/>
      <x:c r="K29" s="25" t="str">
        <x:v>expected_findings/BAD-002.json</x:v>
      </x:c>
      <x:c r="L29" s="25" t="str">
        <x:v>Truncated PDF must fail safely</x:v>
      </x:c>
      <x:c r="M29" s="25" t="str">
        <x:v>1e62d09dcf74ed7d9354aab8a185a3268b1cd4387cd426388651380ad6ab9db5</x:v>
      </x:c>
      <x:c r="N29" s="25" t="n">
        <x:v>0</x:v>
      </x:c>
    </x:row>
    <x:row r="30">
      <x:c r="A30" s="25" t="str">
        <x:v>BAD-003</x:v>
      </x:c>
      <x:c r="B30" s="25" t="str">
        <x:v>documents/unsafe/BAD-003_extension_mismatch.pdf</x:v>
      </x:c>
      <x:c r="C30" s="25" t="str">
        <x:v>unsafe_input</x:v>
      </x:c>
      <x:c r="D30" s="25" t="str">
        <x:v>negative</x:v>
      </x:c>
      <x:c r="E30" s="25" t="str">
        <x:v>unknown</x:v>
      </x:c>
      <x:c r="F30" s="25" t="str">
        <x:v>UNKNOWN</x:v>
      </x:c>
      <x:c r="G30" s="25" t="str">
        <x:v>UNKNOWN</x:v>
      </x:c>
      <x:c r="H30" s="25" t="str">
        <x:v>quarantine</x:v>
      </x:c>
      <x:c r="I30" s="25" t="str">
        <x:v>quarantined</x:v>
      </x:c>
      <x:c r="J30" s="25" t="str"/>
      <x:c r="K30" s="25" t="str">
        <x:v>expected_findings/BAD-003.json</x:v>
      </x:c>
      <x:c r="L30" s="25" t="str">
        <x:v>Extension and magic bytes disagree</x:v>
      </x:c>
      <x:c r="M30" s="25" t="str">
        <x:v>bfe5b48e6d0901625228e30e96b9eece02626d79593e88d7c990abe5b1076fae</x:v>
      </x:c>
      <x:c r="N30" s="25" t="n">
        <x:v>0</x:v>
      </x:c>
    </x:row>
  </x:sheetData>
  <x:conditionalFormatting sqref="I2:I30">
    <x:cfRule type="expression" dxfId="7" priority="1">
      <x:formula>I2="quarantined"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32408864d14d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6" hidden="0" customWidth="1"/>
    <x:col min="5" max="5" width="26" hidden="0" customWidth="1"/>
    <x:col min="6" max="6" width="14" hidden="0" customWidth="1"/>
    <x:col min="7" max="7" width="18" hidden="0" customWidth="1"/>
    <x:col min="8" max="8" width="20" hidden="0" customWidth="1"/>
    <x:col min="9" max="9" width="14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  <x:col min="19" max="19" width="18" hidden="0" customWidth="1"/>
    <x:col min="20" max="20" width="14" hidden="0" customWidth="1"/>
    <x:col min="21" max="21" width="18" hidden="0" customWidth="1"/>
    <x:col min="22" max="22" width="36" hidden="0" customWidth="1"/>
  </x:cols>
  <x:sheetData>
    <x:row r="1">
      <x:c r="A1" s="18" t="str">
        <x:v>Run ID</x:v>
      </x:c>
      <x:c r="B1" s="18" t="str">
        <x:v>Fixture ID</x:v>
      </x:c>
      <x:c r="C1" s="18" t="str">
        <x:v>Route</x:v>
      </x:c>
      <x:c r="D1" s="18" t="str">
        <x:v>Parser/Model ID</x:v>
      </x:c>
      <x:c r="E1" s="18" t="str">
        <x:v>Exact Revision</x:v>
      </x:c>
      <x:c r="F1" s="18" t="str">
        <x:v>Quantization</x:v>
      </x:c>
      <x:c r="G1" s="18" t="str">
        <x:v>Runtime</x:v>
      </x:c>
      <x:c r="H1" s="18" t="str">
        <x:v>Device</x:v>
      </x:c>
      <x:c r="I1" s="18" t="str">
        <x:v>Schema Valid?</x:v>
      </x:c>
      <x:c r="J1" s="18" t="str">
        <x:v>Supplier Exact?</x:v>
      </x:c>
      <x:c r="K1" s="18" t="str">
        <x:v>Invoice No Exact?</x:v>
      </x:c>
      <x:c r="L1" s="18" t="str">
        <x:v>Currency Exact?</x:v>
      </x:c>
      <x:c r="M1" s="18" t="str">
        <x:v>Payable Exact?</x:v>
      </x:c>
      <x:c r="N1" s="18" t="str">
        <x:v>Tax Exact?</x:v>
      </x:c>
      <x:c r="O1" s="18" t="str">
        <x:v>Line Count Exact?</x:v>
      </x:c>
      <x:c r="P1" s="18" t="str">
        <x:v>Evidence Coverage %</x:v>
      </x:c>
      <x:c r="Q1" s="18" t="str">
        <x:v>Hallucinated Fields</x:v>
      </x:c>
      <x:c r="R1" s="18" t="str">
        <x:v>Latency ms</x:v>
      </x:c>
      <x:c r="S1" s="18" t="str">
        <x:v>Peak Memory MB</x:v>
      </x:c>
      <x:c r="T1" s="18" t="str">
        <x:v>Repair Used?</x:v>
      </x:c>
      <x:c r="U1" s="18" t="str">
        <x:v>Final Status</x:v>
      </x:c>
      <x:c r="V1" s="18" t="str">
        <x:v>Notes</x:v>
      </x:c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30"/>
      <x:c r="Q2" s="25"/>
      <x:c r="R2" s="25"/>
      <x:c r="S2" s="25"/>
      <x:c r="T2" s="25"/>
      <x:c r="U2" s="25"/>
      <x:c r="V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30"/>
      <x:c r="Q3" s="25"/>
      <x:c r="R3" s="25"/>
      <x:c r="S3" s="25"/>
      <x:c r="T3" s="25"/>
      <x:c r="U3" s="25"/>
      <x:c r="V3" s="25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30"/>
      <x:c r="Q4" s="25"/>
      <x:c r="R4" s="25"/>
      <x:c r="S4" s="25"/>
      <x:c r="T4" s="25"/>
      <x:c r="U4" s="25"/>
      <x:c r="V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30"/>
      <x:c r="Q5" s="25"/>
      <x:c r="R5" s="25"/>
      <x:c r="S5" s="25"/>
      <x:c r="T5" s="25"/>
      <x:c r="U5" s="25"/>
      <x:c r="V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30"/>
      <x:c r="Q6" s="25"/>
      <x:c r="R6" s="25"/>
      <x:c r="S6" s="25"/>
      <x:c r="T6" s="25"/>
      <x:c r="U6" s="25"/>
      <x:c r="V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30"/>
      <x:c r="Q7" s="25"/>
      <x:c r="R7" s="25"/>
      <x:c r="S7" s="25"/>
      <x:c r="T7" s="25"/>
      <x:c r="U7" s="25"/>
      <x:c r="V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30"/>
      <x:c r="Q8" s="25"/>
      <x:c r="R8" s="25"/>
      <x:c r="S8" s="25"/>
      <x:c r="T8" s="25"/>
      <x:c r="U8" s="25"/>
      <x:c r="V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30"/>
      <x:c r="Q9" s="25"/>
      <x:c r="R9" s="25"/>
      <x:c r="S9" s="25"/>
      <x:c r="T9" s="25"/>
      <x:c r="U9" s="25"/>
      <x:c r="V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30"/>
      <x:c r="Q10" s="25"/>
      <x:c r="R10" s="25"/>
      <x:c r="S10" s="25"/>
      <x:c r="T10" s="25"/>
      <x:c r="U10" s="25"/>
      <x:c r="V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30"/>
      <x:c r="Q11" s="25"/>
      <x:c r="R11" s="25"/>
      <x:c r="S11" s="25"/>
      <x:c r="T11" s="25"/>
      <x:c r="U11" s="25"/>
      <x:c r="V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30"/>
      <x:c r="Q12" s="25"/>
      <x:c r="R12" s="25"/>
      <x:c r="S12" s="25"/>
      <x:c r="T12" s="25"/>
      <x:c r="U12" s="25"/>
      <x:c r="V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30"/>
      <x:c r="Q13" s="25"/>
      <x:c r="R13" s="25"/>
      <x:c r="S13" s="25"/>
      <x:c r="T13" s="25"/>
      <x:c r="U13" s="25"/>
      <x:c r="V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30"/>
      <x:c r="Q14" s="25"/>
      <x:c r="R14" s="25"/>
      <x:c r="S14" s="25"/>
      <x:c r="T14" s="25"/>
      <x:c r="U14" s="25"/>
      <x:c r="V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30"/>
      <x:c r="Q15" s="25"/>
      <x:c r="R15" s="25"/>
      <x:c r="S15" s="25"/>
      <x:c r="T15" s="25"/>
      <x:c r="U15" s="25"/>
      <x:c r="V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30"/>
      <x:c r="Q16" s="25"/>
      <x:c r="R16" s="25"/>
      <x:c r="S16" s="25"/>
      <x:c r="T16" s="25"/>
      <x:c r="U16" s="25"/>
      <x:c r="V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30"/>
      <x:c r="Q17" s="25"/>
      <x:c r="R17" s="25"/>
      <x:c r="S17" s="25"/>
      <x:c r="T17" s="25"/>
      <x:c r="U17" s="25"/>
      <x:c r="V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30"/>
      <x:c r="Q18" s="25"/>
      <x:c r="R18" s="25"/>
      <x:c r="S18" s="25"/>
      <x:c r="T18" s="25"/>
      <x:c r="U18" s="25"/>
      <x:c r="V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30"/>
      <x:c r="Q19" s="25"/>
      <x:c r="R19" s="25"/>
      <x:c r="S19" s="25"/>
      <x:c r="T19" s="25"/>
      <x:c r="U19" s="25"/>
      <x:c r="V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30"/>
      <x:c r="Q20" s="25"/>
      <x:c r="R20" s="25"/>
      <x:c r="S20" s="25"/>
      <x:c r="T20" s="25"/>
      <x:c r="U20" s="25"/>
      <x:c r="V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30"/>
      <x:c r="Q21" s="25"/>
      <x:c r="R21" s="25"/>
      <x:c r="S21" s="25"/>
      <x:c r="T21" s="25"/>
      <x:c r="U21" s="25"/>
      <x:c r="V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30"/>
      <x:c r="Q22" s="25"/>
      <x:c r="R22" s="25"/>
      <x:c r="S22" s="25"/>
      <x:c r="T22" s="25"/>
      <x:c r="U22" s="25"/>
      <x:c r="V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30"/>
      <x:c r="Q23" s="25"/>
      <x:c r="R23" s="25"/>
      <x:c r="S23" s="25"/>
      <x:c r="T23" s="25"/>
      <x:c r="U23" s="25"/>
      <x:c r="V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30"/>
      <x:c r="Q24" s="25"/>
      <x:c r="R24" s="25"/>
      <x:c r="S24" s="25"/>
      <x:c r="T24" s="25"/>
      <x:c r="U24" s="25"/>
      <x:c r="V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30"/>
      <x:c r="Q25" s="25"/>
      <x:c r="R25" s="25"/>
      <x:c r="S25" s="25"/>
      <x:c r="T25" s="25"/>
      <x:c r="U25" s="25"/>
      <x:c r="V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30"/>
      <x:c r="Q26" s="25"/>
      <x:c r="R26" s="25"/>
      <x:c r="S26" s="25"/>
      <x:c r="T26" s="25"/>
      <x:c r="U26" s="25"/>
      <x:c r="V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30"/>
      <x:c r="Q27" s="25"/>
      <x:c r="R27" s="25"/>
      <x:c r="S27" s="25"/>
      <x:c r="T27" s="25"/>
      <x:c r="U27" s="25"/>
      <x:c r="V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30"/>
      <x:c r="Q28" s="25"/>
      <x:c r="R28" s="25"/>
      <x:c r="S28" s="25"/>
      <x:c r="T28" s="25"/>
      <x:c r="U28" s="25"/>
      <x:c r="V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30"/>
      <x:c r="Q29" s="25"/>
      <x:c r="R29" s="25"/>
      <x:c r="S29" s="25"/>
      <x:c r="T29" s="25"/>
      <x:c r="U29" s="25"/>
      <x:c r="V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30"/>
      <x:c r="Q30" s="25"/>
      <x:c r="R30" s="25"/>
      <x:c r="S30" s="25"/>
      <x:c r="T30" s="25"/>
      <x:c r="U30" s="25"/>
      <x:c r="V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30"/>
      <x:c r="Q31" s="25"/>
      <x:c r="R31" s="25"/>
      <x:c r="S31" s="25"/>
      <x:c r="T31" s="25"/>
      <x:c r="U31" s="25"/>
      <x:c r="V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30"/>
      <x:c r="Q32" s="25"/>
      <x:c r="R32" s="25"/>
      <x:c r="S32" s="25"/>
      <x:c r="T32" s="25"/>
      <x:c r="U32" s="25"/>
      <x:c r="V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30"/>
      <x:c r="Q33" s="25"/>
      <x:c r="R33" s="25"/>
      <x:c r="S33" s="25"/>
      <x:c r="T33" s="25"/>
      <x:c r="U33" s="25"/>
      <x:c r="V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30"/>
      <x:c r="Q34" s="25"/>
      <x:c r="R34" s="25"/>
      <x:c r="S34" s="25"/>
      <x:c r="T34" s="25"/>
      <x:c r="U34" s="25"/>
      <x:c r="V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30"/>
      <x:c r="Q35" s="25"/>
      <x:c r="R35" s="25"/>
      <x:c r="S35" s="25"/>
      <x:c r="T35" s="25"/>
      <x:c r="U35" s="25"/>
      <x:c r="V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30"/>
      <x:c r="Q36" s="25"/>
      <x:c r="R36" s="25"/>
      <x:c r="S36" s="25"/>
      <x:c r="T36" s="25"/>
      <x:c r="U36" s="25"/>
      <x:c r="V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30"/>
      <x:c r="Q37" s="25"/>
      <x:c r="R37" s="25"/>
      <x:c r="S37" s="25"/>
      <x:c r="T37" s="25"/>
      <x:c r="U37" s="25"/>
      <x:c r="V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30"/>
      <x:c r="Q38" s="25"/>
      <x:c r="R38" s="25"/>
      <x:c r="S38" s="25"/>
      <x:c r="T38" s="25"/>
      <x:c r="U38" s="25"/>
      <x:c r="V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30"/>
      <x:c r="Q39" s="25"/>
      <x:c r="R39" s="25"/>
      <x:c r="S39" s="25"/>
      <x:c r="T39" s="25"/>
      <x:c r="U39" s="25"/>
      <x:c r="V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30"/>
      <x:c r="Q40" s="25"/>
      <x:c r="R40" s="25"/>
      <x:c r="S40" s="25"/>
      <x:c r="T40" s="25"/>
      <x:c r="U40" s="25"/>
      <x:c r="V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30"/>
      <x:c r="Q41" s="25"/>
      <x:c r="R41" s="25"/>
      <x:c r="S41" s="25"/>
      <x:c r="T41" s="25"/>
      <x:c r="U41" s="25"/>
      <x:c r="V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30"/>
      <x:c r="Q42" s="25"/>
      <x:c r="R42" s="25"/>
      <x:c r="S42" s="25"/>
      <x:c r="T42" s="25"/>
      <x:c r="U42" s="25"/>
      <x:c r="V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30"/>
      <x:c r="Q43" s="25"/>
      <x:c r="R43" s="25"/>
      <x:c r="S43" s="25"/>
      <x:c r="T43" s="25"/>
      <x:c r="U43" s="25"/>
      <x:c r="V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30"/>
      <x:c r="Q44" s="25"/>
      <x:c r="R44" s="25"/>
      <x:c r="S44" s="25"/>
      <x:c r="T44" s="25"/>
      <x:c r="U44" s="25"/>
      <x:c r="V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30"/>
      <x:c r="Q45" s="25"/>
      <x:c r="R45" s="25"/>
      <x:c r="S45" s="25"/>
      <x:c r="T45" s="25"/>
      <x:c r="U45" s="25"/>
      <x:c r="V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30"/>
      <x:c r="Q46" s="25"/>
      <x:c r="R46" s="25"/>
      <x:c r="S46" s="25"/>
      <x:c r="T46" s="25"/>
      <x:c r="U46" s="25"/>
      <x:c r="V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30"/>
      <x:c r="Q47" s="25"/>
      <x:c r="R47" s="25"/>
      <x:c r="S47" s="25"/>
      <x:c r="T47" s="25"/>
      <x:c r="U47" s="25"/>
      <x:c r="V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30"/>
      <x:c r="Q48" s="25"/>
      <x:c r="R48" s="25"/>
      <x:c r="S48" s="25"/>
      <x:c r="T48" s="25"/>
      <x:c r="U48" s="25"/>
      <x:c r="V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30"/>
      <x:c r="Q49" s="25"/>
      <x:c r="R49" s="25"/>
      <x:c r="S49" s="25"/>
      <x:c r="T49" s="25"/>
      <x:c r="U49" s="25"/>
      <x:c r="V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30"/>
      <x:c r="Q50" s="25"/>
      <x:c r="R50" s="25"/>
      <x:c r="S50" s="25"/>
      <x:c r="T50" s="25"/>
      <x:c r="U50" s="25"/>
      <x:c r="V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30"/>
      <x:c r="Q51" s="25"/>
      <x:c r="R51" s="25"/>
      <x:c r="S51" s="25"/>
      <x:c r="T51" s="25"/>
      <x:c r="U51" s="25"/>
      <x:c r="V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30"/>
      <x:c r="Q52" s="25"/>
      <x:c r="R52" s="25"/>
      <x:c r="S52" s="25"/>
      <x:c r="T52" s="25"/>
      <x:c r="U52" s="25"/>
      <x:c r="V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30"/>
      <x:c r="Q53" s="25"/>
      <x:c r="R53" s="25"/>
      <x:c r="S53" s="25"/>
      <x:c r="T53" s="25"/>
      <x:c r="U53" s="25"/>
      <x:c r="V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30"/>
      <x:c r="Q54" s="25"/>
      <x:c r="R54" s="25"/>
      <x:c r="S54" s="25"/>
      <x:c r="T54" s="25"/>
      <x:c r="U54" s="25"/>
      <x:c r="V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30"/>
      <x:c r="Q55" s="25"/>
      <x:c r="R55" s="25"/>
      <x:c r="S55" s="25"/>
      <x:c r="T55" s="25"/>
      <x:c r="U55" s="25"/>
      <x:c r="V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30"/>
      <x:c r="Q56" s="25"/>
      <x:c r="R56" s="25"/>
      <x:c r="S56" s="25"/>
      <x:c r="T56" s="25"/>
      <x:c r="U56" s="25"/>
      <x:c r="V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30"/>
      <x:c r="Q57" s="25"/>
      <x:c r="R57" s="25"/>
      <x:c r="S57" s="25"/>
      <x:c r="T57" s="25"/>
      <x:c r="U57" s="25"/>
      <x:c r="V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30"/>
      <x:c r="Q58" s="25"/>
      <x:c r="R58" s="25"/>
      <x:c r="S58" s="25"/>
      <x:c r="T58" s="25"/>
      <x:c r="U58" s="25"/>
      <x:c r="V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30"/>
      <x:c r="Q59" s="25"/>
      <x:c r="R59" s="25"/>
      <x:c r="S59" s="25"/>
      <x:c r="T59" s="25"/>
      <x:c r="U59" s="25"/>
      <x:c r="V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30"/>
      <x:c r="Q60" s="25"/>
      <x:c r="R60" s="25"/>
      <x:c r="S60" s="25"/>
      <x:c r="T60" s="25"/>
      <x:c r="U60" s="25"/>
      <x:c r="V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30"/>
      <x:c r="Q61" s="25"/>
      <x:c r="R61" s="25"/>
      <x:c r="S61" s="25"/>
      <x:c r="T61" s="25"/>
      <x:c r="U61" s="25"/>
      <x:c r="V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30"/>
      <x:c r="Q62" s="25"/>
      <x:c r="R62" s="25"/>
      <x:c r="S62" s="25"/>
      <x:c r="T62" s="25"/>
      <x:c r="U62" s="25"/>
      <x:c r="V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30"/>
      <x:c r="Q63" s="25"/>
      <x:c r="R63" s="25"/>
      <x:c r="S63" s="25"/>
      <x:c r="T63" s="25"/>
      <x:c r="U63" s="25"/>
      <x:c r="V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30"/>
      <x:c r="Q64" s="25"/>
      <x:c r="R64" s="25"/>
      <x:c r="S64" s="25"/>
      <x:c r="T64" s="25"/>
      <x:c r="U64" s="25"/>
      <x:c r="V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30"/>
      <x:c r="Q65" s="25"/>
      <x:c r="R65" s="25"/>
      <x:c r="S65" s="25"/>
      <x:c r="T65" s="25"/>
      <x:c r="U65" s="25"/>
      <x:c r="V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30"/>
      <x:c r="Q66" s="25"/>
      <x:c r="R66" s="25"/>
      <x:c r="S66" s="25"/>
      <x:c r="T66" s="25"/>
      <x:c r="U66" s="25"/>
      <x:c r="V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30"/>
      <x:c r="Q67" s="25"/>
      <x:c r="R67" s="25"/>
      <x:c r="S67" s="25"/>
      <x:c r="T67" s="25"/>
      <x:c r="U67" s="25"/>
      <x:c r="V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30"/>
      <x:c r="Q68" s="25"/>
      <x:c r="R68" s="25"/>
      <x:c r="S68" s="25"/>
      <x:c r="T68" s="25"/>
      <x:c r="U68" s="25"/>
      <x:c r="V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30"/>
      <x:c r="Q69" s="25"/>
      <x:c r="R69" s="25"/>
      <x:c r="S69" s="25"/>
      <x:c r="T69" s="25"/>
      <x:c r="U69" s="25"/>
      <x:c r="V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30"/>
      <x:c r="Q70" s="25"/>
      <x:c r="R70" s="25"/>
      <x:c r="S70" s="25"/>
      <x:c r="T70" s="25"/>
      <x:c r="U70" s="25"/>
      <x:c r="V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30"/>
      <x:c r="Q71" s="25"/>
      <x:c r="R71" s="25"/>
      <x:c r="S71" s="25"/>
      <x:c r="T71" s="25"/>
      <x:c r="U71" s="25"/>
      <x:c r="V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30"/>
      <x:c r="Q72" s="25"/>
      <x:c r="R72" s="25"/>
      <x:c r="S72" s="25"/>
      <x:c r="T72" s="25"/>
      <x:c r="U72" s="25"/>
      <x:c r="V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30"/>
      <x:c r="Q73" s="25"/>
      <x:c r="R73" s="25"/>
      <x:c r="S73" s="25"/>
      <x:c r="T73" s="25"/>
      <x:c r="U73" s="25"/>
      <x:c r="V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30"/>
      <x:c r="Q74" s="25"/>
      <x:c r="R74" s="25"/>
      <x:c r="S74" s="25"/>
      <x:c r="T74" s="25"/>
      <x:c r="U74" s="25"/>
      <x:c r="V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30"/>
      <x:c r="Q75" s="25"/>
      <x:c r="R75" s="25"/>
      <x:c r="S75" s="25"/>
      <x:c r="T75" s="25"/>
      <x:c r="U75" s="25"/>
      <x:c r="V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30"/>
      <x:c r="Q76" s="25"/>
      <x:c r="R76" s="25"/>
      <x:c r="S76" s="25"/>
      <x:c r="T76" s="25"/>
      <x:c r="U76" s="25"/>
      <x:c r="V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30"/>
      <x:c r="Q77" s="25"/>
      <x:c r="R77" s="25"/>
      <x:c r="S77" s="25"/>
      <x:c r="T77" s="25"/>
      <x:c r="U77" s="25"/>
      <x:c r="V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30"/>
      <x:c r="Q78" s="25"/>
      <x:c r="R78" s="25"/>
      <x:c r="S78" s="25"/>
      <x:c r="T78" s="25"/>
      <x:c r="U78" s="25"/>
      <x:c r="V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30"/>
      <x:c r="Q79" s="25"/>
      <x:c r="R79" s="25"/>
      <x:c r="S79" s="25"/>
      <x:c r="T79" s="25"/>
      <x:c r="U79" s="25"/>
      <x:c r="V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30"/>
      <x:c r="Q80" s="25"/>
      <x:c r="R80" s="25"/>
      <x:c r="S80" s="25"/>
      <x:c r="T80" s="25"/>
      <x:c r="U80" s="25"/>
      <x:c r="V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30"/>
      <x:c r="Q81" s="25"/>
      <x:c r="R81" s="25"/>
      <x:c r="S81" s="25"/>
      <x:c r="T81" s="25"/>
      <x:c r="U81" s="25"/>
      <x:c r="V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30"/>
      <x:c r="Q82" s="25"/>
      <x:c r="R82" s="25"/>
      <x:c r="S82" s="25"/>
      <x:c r="T82" s="25"/>
      <x:c r="U82" s="25"/>
      <x:c r="V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30"/>
      <x:c r="Q83" s="25"/>
      <x:c r="R83" s="25"/>
      <x:c r="S83" s="25"/>
      <x:c r="T83" s="25"/>
      <x:c r="U83" s="25"/>
      <x:c r="V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30"/>
      <x:c r="Q84" s="25"/>
      <x:c r="R84" s="25"/>
      <x:c r="S84" s="25"/>
      <x:c r="T84" s="25"/>
      <x:c r="U84" s="25"/>
      <x:c r="V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30"/>
      <x:c r="Q85" s="25"/>
      <x:c r="R85" s="25"/>
      <x:c r="S85" s="25"/>
      <x:c r="T85" s="25"/>
      <x:c r="U85" s="25"/>
      <x:c r="V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30"/>
      <x:c r="Q86" s="25"/>
      <x:c r="R86" s="25"/>
      <x:c r="S86" s="25"/>
      <x:c r="T86" s="25"/>
      <x:c r="U86" s="25"/>
      <x:c r="V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30"/>
      <x:c r="Q87" s="25"/>
      <x:c r="R87" s="25"/>
      <x:c r="S87" s="25"/>
      <x:c r="T87" s="25"/>
      <x:c r="U87" s="25"/>
      <x:c r="V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30"/>
      <x:c r="Q88" s="25"/>
      <x:c r="R88" s="25"/>
      <x:c r="S88" s="25"/>
      <x:c r="T88" s="25"/>
      <x:c r="U88" s="25"/>
      <x:c r="V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30"/>
      <x:c r="Q89" s="25"/>
      <x:c r="R89" s="25"/>
      <x:c r="S89" s="25"/>
      <x:c r="T89" s="25"/>
      <x:c r="U89" s="25"/>
      <x:c r="V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30"/>
      <x:c r="Q90" s="25"/>
      <x:c r="R90" s="25"/>
      <x:c r="S90" s="25"/>
      <x:c r="T90" s="25"/>
      <x:c r="U90" s="25"/>
      <x:c r="V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30"/>
      <x:c r="Q91" s="25"/>
      <x:c r="R91" s="25"/>
      <x:c r="S91" s="25"/>
      <x:c r="T91" s="25"/>
      <x:c r="U91" s="25"/>
      <x:c r="V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30"/>
      <x:c r="Q92" s="25"/>
      <x:c r="R92" s="25"/>
      <x:c r="S92" s="25"/>
      <x:c r="T92" s="25"/>
      <x:c r="U92" s="25"/>
      <x:c r="V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30"/>
      <x:c r="Q93" s="25"/>
      <x:c r="R93" s="25"/>
      <x:c r="S93" s="25"/>
      <x:c r="T93" s="25"/>
      <x:c r="U93" s="25"/>
      <x:c r="V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30"/>
      <x:c r="Q94" s="25"/>
      <x:c r="R94" s="25"/>
      <x:c r="S94" s="25"/>
      <x:c r="T94" s="25"/>
      <x:c r="U94" s="25"/>
      <x:c r="V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30"/>
      <x:c r="Q95" s="25"/>
      <x:c r="R95" s="25"/>
      <x:c r="S95" s="25"/>
      <x:c r="T95" s="25"/>
      <x:c r="U95" s="25"/>
      <x:c r="V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30"/>
      <x:c r="Q96" s="25"/>
      <x:c r="R96" s="25"/>
      <x:c r="S96" s="25"/>
      <x:c r="T96" s="25"/>
      <x:c r="U96" s="25"/>
      <x:c r="V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30"/>
      <x:c r="Q97" s="25"/>
      <x:c r="R97" s="25"/>
      <x:c r="S97" s="25"/>
      <x:c r="T97" s="25"/>
      <x:c r="U97" s="25"/>
      <x:c r="V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30"/>
      <x:c r="Q98" s="25"/>
      <x:c r="R98" s="25"/>
      <x:c r="S98" s="25"/>
      <x:c r="T98" s="25"/>
      <x:c r="U98" s="25"/>
      <x:c r="V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30"/>
      <x:c r="Q99" s="25"/>
      <x:c r="R99" s="25"/>
      <x:c r="S99" s="25"/>
      <x:c r="T99" s="25"/>
      <x:c r="U99" s="25"/>
      <x:c r="V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30"/>
      <x:c r="Q100" s="25"/>
      <x:c r="R100" s="25"/>
      <x:c r="S100" s="25"/>
      <x:c r="T100" s="25"/>
      <x:c r="U100" s="25"/>
      <x:c r="V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30"/>
      <x:c r="Q101" s="25"/>
      <x:c r="R101" s="25"/>
      <x:c r="S101" s="25"/>
      <x:c r="T101" s="25"/>
      <x:c r="U101" s="25"/>
      <x:c r="V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30"/>
      <x:c r="Q102" s="25"/>
      <x:c r="R102" s="25"/>
      <x:c r="S102" s="25"/>
      <x:c r="T102" s="25"/>
      <x:c r="U102" s="25"/>
      <x:c r="V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30"/>
      <x:c r="Q103" s="25"/>
      <x:c r="R103" s="25"/>
      <x:c r="S103" s="25"/>
      <x:c r="T103" s="25"/>
      <x:c r="U103" s="25"/>
      <x:c r="V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30"/>
      <x:c r="Q104" s="25"/>
      <x:c r="R104" s="25"/>
      <x:c r="S104" s="25"/>
      <x:c r="T104" s="25"/>
      <x:c r="U104" s="25"/>
      <x:c r="V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30"/>
      <x:c r="Q105" s="25"/>
      <x:c r="R105" s="25"/>
      <x:c r="S105" s="25"/>
      <x:c r="T105" s="25"/>
      <x:c r="U105" s="25"/>
      <x:c r="V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30"/>
      <x:c r="Q106" s="25"/>
      <x:c r="R106" s="25"/>
      <x:c r="S106" s="25"/>
      <x:c r="T106" s="25"/>
      <x:c r="U106" s="25"/>
      <x:c r="V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30"/>
      <x:c r="Q107" s="25"/>
      <x:c r="R107" s="25"/>
      <x:c r="S107" s="25"/>
      <x:c r="T107" s="25"/>
      <x:c r="U107" s="25"/>
      <x:c r="V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30"/>
      <x:c r="Q108" s="25"/>
      <x:c r="R108" s="25"/>
      <x:c r="S108" s="25"/>
      <x:c r="T108" s="25"/>
      <x:c r="U108" s="25"/>
      <x:c r="V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30"/>
      <x:c r="Q109" s="25"/>
      <x:c r="R109" s="25"/>
      <x:c r="S109" s="25"/>
      <x:c r="T109" s="25"/>
      <x:c r="U109" s="25"/>
      <x:c r="V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30"/>
      <x:c r="Q110" s="25"/>
      <x:c r="R110" s="25"/>
      <x:c r="S110" s="25"/>
      <x:c r="T110" s="25"/>
      <x:c r="U110" s="25"/>
      <x:c r="V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30"/>
      <x:c r="Q111" s="25"/>
      <x:c r="R111" s="25"/>
      <x:c r="S111" s="25"/>
      <x:c r="T111" s="25"/>
      <x:c r="U111" s="25"/>
      <x:c r="V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30"/>
      <x:c r="Q112" s="25"/>
      <x:c r="R112" s="25"/>
      <x:c r="S112" s="25"/>
      <x:c r="T112" s="25"/>
      <x:c r="U112" s="25"/>
      <x:c r="V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30"/>
      <x:c r="Q113" s="25"/>
      <x:c r="R113" s="25"/>
      <x:c r="S113" s="25"/>
      <x:c r="T113" s="25"/>
      <x:c r="U113" s="25"/>
      <x:c r="V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30"/>
      <x:c r="Q114" s="25"/>
      <x:c r="R114" s="25"/>
      <x:c r="S114" s="25"/>
      <x:c r="T114" s="25"/>
      <x:c r="U114" s="25"/>
      <x:c r="V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30"/>
      <x:c r="Q115" s="25"/>
      <x:c r="R115" s="25"/>
      <x:c r="S115" s="25"/>
      <x:c r="T115" s="25"/>
      <x:c r="U115" s="25"/>
      <x:c r="V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30"/>
      <x:c r="Q116" s="25"/>
      <x:c r="R116" s="25"/>
      <x:c r="S116" s="25"/>
      <x:c r="T116" s="25"/>
      <x:c r="U116" s="25"/>
      <x:c r="V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30"/>
      <x:c r="Q117" s="25"/>
      <x:c r="R117" s="25"/>
      <x:c r="S117" s="25"/>
      <x:c r="T117" s="25"/>
      <x:c r="U117" s="25"/>
      <x:c r="V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30"/>
      <x:c r="Q118" s="25"/>
      <x:c r="R118" s="25"/>
      <x:c r="S118" s="25"/>
      <x:c r="T118" s="25"/>
      <x:c r="U118" s="25"/>
      <x:c r="V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30"/>
      <x:c r="Q119" s="25"/>
      <x:c r="R119" s="25"/>
      <x:c r="S119" s="25"/>
      <x:c r="T119" s="25"/>
      <x:c r="U119" s="25"/>
      <x:c r="V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30"/>
      <x:c r="Q120" s="25"/>
      <x:c r="R120" s="25"/>
      <x:c r="S120" s="25"/>
      <x:c r="T120" s="25"/>
      <x:c r="U120" s="25"/>
      <x:c r="V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30"/>
      <x:c r="Q121" s="25"/>
      <x:c r="R121" s="25"/>
      <x:c r="S121" s="25"/>
      <x:c r="T121" s="25"/>
      <x:c r="U121" s="25"/>
      <x:c r="V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30"/>
      <x:c r="Q122" s="25"/>
      <x:c r="R122" s="25"/>
      <x:c r="S122" s="25"/>
      <x:c r="T122" s="25"/>
      <x:c r="U122" s="25"/>
      <x:c r="V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30"/>
      <x:c r="Q123" s="25"/>
      <x:c r="R123" s="25"/>
      <x:c r="S123" s="25"/>
      <x:c r="T123" s="25"/>
      <x:c r="U123" s="25"/>
      <x:c r="V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30"/>
      <x:c r="Q124" s="25"/>
      <x:c r="R124" s="25"/>
      <x:c r="S124" s="25"/>
      <x:c r="T124" s="25"/>
      <x:c r="U124" s="25"/>
      <x:c r="V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30"/>
      <x:c r="Q125" s="25"/>
      <x:c r="R125" s="25"/>
      <x:c r="S125" s="25"/>
      <x:c r="T125" s="25"/>
      <x:c r="U125" s="25"/>
      <x:c r="V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30"/>
      <x:c r="Q126" s="25"/>
      <x:c r="R126" s="25"/>
      <x:c r="S126" s="25"/>
      <x:c r="T126" s="25"/>
      <x:c r="U126" s="25"/>
      <x:c r="V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30"/>
      <x:c r="Q127" s="25"/>
      <x:c r="R127" s="25"/>
      <x:c r="S127" s="25"/>
      <x:c r="T127" s="25"/>
      <x:c r="U127" s="25"/>
      <x:c r="V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30"/>
      <x:c r="Q128" s="25"/>
      <x:c r="R128" s="25"/>
      <x:c r="S128" s="25"/>
      <x:c r="T128" s="25"/>
      <x:c r="U128" s="25"/>
      <x:c r="V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30"/>
      <x:c r="Q129" s="25"/>
      <x:c r="R129" s="25"/>
      <x:c r="S129" s="25"/>
      <x:c r="T129" s="25"/>
      <x:c r="U129" s="25"/>
      <x:c r="V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30"/>
      <x:c r="Q130" s="25"/>
      <x:c r="R130" s="25"/>
      <x:c r="S130" s="25"/>
      <x:c r="T130" s="25"/>
      <x:c r="U130" s="25"/>
      <x:c r="V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30"/>
      <x:c r="Q131" s="25"/>
      <x:c r="R131" s="25"/>
      <x:c r="S131" s="25"/>
      <x:c r="T131" s="25"/>
      <x:c r="U131" s="25"/>
      <x:c r="V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30"/>
      <x:c r="Q132" s="25"/>
      <x:c r="R132" s="25"/>
      <x:c r="S132" s="25"/>
      <x:c r="T132" s="25"/>
      <x:c r="U132" s="25"/>
      <x:c r="V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30"/>
      <x:c r="Q133" s="25"/>
      <x:c r="R133" s="25"/>
      <x:c r="S133" s="25"/>
      <x:c r="T133" s="25"/>
      <x:c r="U133" s="25"/>
      <x:c r="V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30"/>
      <x:c r="Q134" s="25"/>
      <x:c r="R134" s="25"/>
      <x:c r="S134" s="25"/>
      <x:c r="T134" s="25"/>
      <x:c r="U134" s="25"/>
      <x:c r="V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30"/>
      <x:c r="Q135" s="25"/>
      <x:c r="R135" s="25"/>
      <x:c r="S135" s="25"/>
      <x:c r="T135" s="25"/>
      <x:c r="U135" s="25"/>
      <x:c r="V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30"/>
      <x:c r="Q136" s="25"/>
      <x:c r="R136" s="25"/>
      <x:c r="S136" s="25"/>
      <x:c r="T136" s="25"/>
      <x:c r="U136" s="25"/>
      <x:c r="V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30"/>
      <x:c r="Q137" s="25"/>
      <x:c r="R137" s="25"/>
      <x:c r="S137" s="25"/>
      <x:c r="T137" s="25"/>
      <x:c r="U137" s="25"/>
      <x:c r="V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30"/>
      <x:c r="Q138" s="25"/>
      <x:c r="R138" s="25"/>
      <x:c r="S138" s="25"/>
      <x:c r="T138" s="25"/>
      <x:c r="U138" s="25"/>
      <x:c r="V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30"/>
      <x:c r="Q139" s="25"/>
      <x:c r="R139" s="25"/>
      <x:c r="S139" s="25"/>
      <x:c r="T139" s="25"/>
      <x:c r="U139" s="25"/>
      <x:c r="V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30"/>
      <x:c r="Q140" s="25"/>
      <x:c r="R140" s="25"/>
      <x:c r="S140" s="25"/>
      <x:c r="T140" s="25"/>
      <x:c r="U140" s="25"/>
      <x:c r="V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30"/>
      <x:c r="Q141" s="25"/>
      <x:c r="R141" s="25"/>
      <x:c r="S141" s="25"/>
      <x:c r="T141" s="25"/>
      <x:c r="U141" s="25"/>
      <x:c r="V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30"/>
      <x:c r="Q142" s="25"/>
      <x:c r="R142" s="25"/>
      <x:c r="S142" s="25"/>
      <x:c r="T142" s="25"/>
      <x:c r="U142" s="25"/>
      <x:c r="V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30"/>
      <x:c r="Q143" s="25"/>
      <x:c r="R143" s="25"/>
      <x:c r="S143" s="25"/>
      <x:c r="T143" s="25"/>
      <x:c r="U143" s="25"/>
      <x:c r="V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30"/>
      <x:c r="Q144" s="25"/>
      <x:c r="R144" s="25"/>
      <x:c r="S144" s="25"/>
      <x:c r="T144" s="25"/>
      <x:c r="U144" s="25"/>
      <x:c r="V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30"/>
      <x:c r="Q145" s="25"/>
      <x:c r="R145" s="25"/>
      <x:c r="S145" s="25"/>
      <x:c r="T145" s="25"/>
      <x:c r="U145" s="25"/>
      <x:c r="V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30"/>
      <x:c r="Q146" s="25"/>
      <x:c r="R146" s="25"/>
      <x:c r="S146" s="25"/>
      <x:c r="T146" s="25"/>
      <x:c r="U146" s="25"/>
      <x:c r="V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30"/>
      <x:c r="Q147" s="25"/>
      <x:c r="R147" s="25"/>
      <x:c r="S147" s="25"/>
      <x:c r="T147" s="25"/>
      <x:c r="U147" s="25"/>
      <x:c r="V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30"/>
      <x:c r="Q148" s="25"/>
      <x:c r="R148" s="25"/>
      <x:c r="S148" s="25"/>
      <x:c r="T148" s="25"/>
      <x:c r="U148" s="25"/>
      <x:c r="V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30"/>
      <x:c r="Q149" s="25"/>
      <x:c r="R149" s="25"/>
      <x:c r="S149" s="25"/>
      <x:c r="T149" s="25"/>
      <x:c r="U149" s="25"/>
      <x:c r="V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30"/>
      <x:c r="Q150" s="25"/>
      <x:c r="R150" s="25"/>
      <x:c r="S150" s="25"/>
      <x:c r="T150" s="25"/>
      <x:c r="U150" s="25"/>
      <x:c r="V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30"/>
      <x:c r="Q151" s="25"/>
      <x:c r="R151" s="25"/>
      <x:c r="S151" s="25"/>
      <x:c r="T151" s="25"/>
      <x:c r="U151" s="25"/>
      <x:c r="V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30"/>
      <x:c r="Q152" s="25"/>
      <x:c r="R152" s="25"/>
      <x:c r="S152" s="25"/>
      <x:c r="T152" s="25"/>
      <x:c r="U152" s="25"/>
      <x:c r="V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30"/>
      <x:c r="Q153" s="25"/>
      <x:c r="R153" s="25"/>
      <x:c r="S153" s="25"/>
      <x:c r="T153" s="25"/>
      <x:c r="U153" s="25"/>
      <x:c r="V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30"/>
      <x:c r="Q154" s="25"/>
      <x:c r="R154" s="25"/>
      <x:c r="S154" s="25"/>
      <x:c r="T154" s="25"/>
      <x:c r="U154" s="25"/>
      <x:c r="V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30"/>
      <x:c r="Q155" s="25"/>
      <x:c r="R155" s="25"/>
      <x:c r="S155" s="25"/>
      <x:c r="T155" s="25"/>
      <x:c r="U155" s="25"/>
      <x:c r="V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30"/>
      <x:c r="Q156" s="25"/>
      <x:c r="R156" s="25"/>
      <x:c r="S156" s="25"/>
      <x:c r="T156" s="25"/>
      <x:c r="U156" s="25"/>
      <x:c r="V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30"/>
      <x:c r="Q157" s="25"/>
      <x:c r="R157" s="25"/>
      <x:c r="S157" s="25"/>
      <x:c r="T157" s="25"/>
      <x:c r="U157" s="25"/>
      <x:c r="V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30"/>
      <x:c r="Q158" s="25"/>
      <x:c r="R158" s="25"/>
      <x:c r="S158" s="25"/>
      <x:c r="T158" s="25"/>
      <x:c r="U158" s="25"/>
      <x:c r="V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30"/>
      <x:c r="Q159" s="25"/>
      <x:c r="R159" s="25"/>
      <x:c r="S159" s="25"/>
      <x:c r="T159" s="25"/>
      <x:c r="U159" s="25"/>
      <x:c r="V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30"/>
      <x:c r="Q160" s="25"/>
      <x:c r="R160" s="25"/>
      <x:c r="S160" s="25"/>
      <x:c r="T160" s="25"/>
      <x:c r="U160" s="25"/>
      <x:c r="V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30"/>
      <x:c r="Q161" s="25"/>
      <x:c r="R161" s="25"/>
      <x:c r="S161" s="25"/>
      <x:c r="T161" s="25"/>
      <x:c r="U161" s="25"/>
      <x:c r="V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30"/>
      <x:c r="Q162" s="25"/>
      <x:c r="R162" s="25"/>
      <x:c r="S162" s="25"/>
      <x:c r="T162" s="25"/>
      <x:c r="U162" s="25"/>
      <x:c r="V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30"/>
      <x:c r="Q163" s="25"/>
      <x:c r="R163" s="25"/>
      <x:c r="S163" s="25"/>
      <x:c r="T163" s="25"/>
      <x:c r="U163" s="25"/>
      <x:c r="V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30"/>
      <x:c r="Q164" s="25"/>
      <x:c r="R164" s="25"/>
      <x:c r="S164" s="25"/>
      <x:c r="T164" s="25"/>
      <x:c r="U164" s="25"/>
      <x:c r="V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30"/>
      <x:c r="Q165" s="25"/>
      <x:c r="R165" s="25"/>
      <x:c r="S165" s="25"/>
      <x:c r="T165" s="25"/>
      <x:c r="U165" s="25"/>
      <x:c r="V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30"/>
      <x:c r="Q166" s="25"/>
      <x:c r="R166" s="25"/>
      <x:c r="S166" s="25"/>
      <x:c r="T166" s="25"/>
      <x:c r="U166" s="25"/>
      <x:c r="V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30"/>
      <x:c r="Q167" s="25"/>
      <x:c r="R167" s="25"/>
      <x:c r="S167" s="25"/>
      <x:c r="T167" s="25"/>
      <x:c r="U167" s="25"/>
      <x:c r="V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30"/>
      <x:c r="Q168" s="25"/>
      <x:c r="R168" s="25"/>
      <x:c r="S168" s="25"/>
      <x:c r="T168" s="25"/>
      <x:c r="U168" s="25"/>
      <x:c r="V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30"/>
      <x:c r="Q169" s="25"/>
      <x:c r="R169" s="25"/>
      <x:c r="S169" s="25"/>
      <x:c r="T169" s="25"/>
      <x:c r="U169" s="25"/>
      <x:c r="V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30"/>
      <x:c r="Q170" s="25"/>
      <x:c r="R170" s="25"/>
      <x:c r="S170" s="25"/>
      <x:c r="T170" s="25"/>
      <x:c r="U170" s="25"/>
      <x:c r="V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30"/>
      <x:c r="Q171" s="25"/>
      <x:c r="R171" s="25"/>
      <x:c r="S171" s="25"/>
      <x:c r="T171" s="25"/>
      <x:c r="U171" s="25"/>
      <x:c r="V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30"/>
      <x:c r="Q172" s="25"/>
      <x:c r="R172" s="25"/>
      <x:c r="S172" s="25"/>
      <x:c r="T172" s="25"/>
      <x:c r="U172" s="25"/>
      <x:c r="V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30"/>
      <x:c r="Q173" s="25"/>
      <x:c r="R173" s="25"/>
      <x:c r="S173" s="25"/>
      <x:c r="T173" s="25"/>
      <x:c r="U173" s="25"/>
      <x:c r="V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30"/>
      <x:c r="Q174" s="25"/>
      <x:c r="R174" s="25"/>
      <x:c r="S174" s="25"/>
      <x:c r="T174" s="25"/>
      <x:c r="U174" s="25"/>
      <x:c r="V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30"/>
      <x:c r="Q175" s="25"/>
      <x:c r="R175" s="25"/>
      <x:c r="S175" s="25"/>
      <x:c r="T175" s="25"/>
      <x:c r="U175" s="25"/>
      <x:c r="V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30"/>
      <x:c r="Q176" s="25"/>
      <x:c r="R176" s="25"/>
      <x:c r="S176" s="25"/>
      <x:c r="T176" s="25"/>
      <x:c r="U176" s="25"/>
      <x:c r="V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30"/>
      <x:c r="Q177" s="25"/>
      <x:c r="R177" s="25"/>
      <x:c r="S177" s="25"/>
      <x:c r="T177" s="25"/>
      <x:c r="U177" s="25"/>
      <x:c r="V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30"/>
      <x:c r="Q178" s="25"/>
      <x:c r="R178" s="25"/>
      <x:c r="S178" s="25"/>
      <x:c r="T178" s="25"/>
      <x:c r="U178" s="25"/>
      <x:c r="V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30"/>
      <x:c r="Q179" s="25"/>
      <x:c r="R179" s="25"/>
      <x:c r="S179" s="25"/>
      <x:c r="T179" s="25"/>
      <x:c r="U179" s="25"/>
      <x:c r="V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30"/>
      <x:c r="Q180" s="25"/>
      <x:c r="R180" s="25"/>
      <x:c r="S180" s="25"/>
      <x:c r="T180" s="25"/>
      <x:c r="U180" s="25"/>
      <x:c r="V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30"/>
      <x:c r="Q181" s="25"/>
      <x:c r="R181" s="25"/>
      <x:c r="S181" s="25"/>
      <x:c r="T181" s="25"/>
      <x:c r="U181" s="25"/>
      <x:c r="V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30"/>
      <x:c r="Q182" s="25"/>
      <x:c r="R182" s="25"/>
      <x:c r="S182" s="25"/>
      <x:c r="T182" s="25"/>
      <x:c r="U182" s="25"/>
      <x:c r="V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30"/>
      <x:c r="Q183" s="25"/>
      <x:c r="R183" s="25"/>
      <x:c r="S183" s="25"/>
      <x:c r="T183" s="25"/>
      <x:c r="U183" s="25"/>
      <x:c r="V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30"/>
      <x:c r="Q184" s="25"/>
      <x:c r="R184" s="25"/>
      <x:c r="S184" s="25"/>
      <x:c r="T184" s="25"/>
      <x:c r="U184" s="25"/>
      <x:c r="V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30"/>
      <x:c r="Q185" s="25"/>
      <x:c r="R185" s="25"/>
      <x:c r="S185" s="25"/>
      <x:c r="T185" s="25"/>
      <x:c r="U185" s="25"/>
      <x:c r="V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30"/>
      <x:c r="Q186" s="25"/>
      <x:c r="R186" s="25"/>
      <x:c r="S186" s="25"/>
      <x:c r="T186" s="25"/>
      <x:c r="U186" s="25"/>
      <x:c r="V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30"/>
      <x:c r="Q187" s="25"/>
      <x:c r="R187" s="25"/>
      <x:c r="S187" s="25"/>
      <x:c r="T187" s="25"/>
      <x:c r="U187" s="25"/>
      <x:c r="V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30"/>
      <x:c r="Q188" s="25"/>
      <x:c r="R188" s="25"/>
      <x:c r="S188" s="25"/>
      <x:c r="T188" s="25"/>
      <x:c r="U188" s="25"/>
      <x:c r="V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30"/>
      <x:c r="Q189" s="25"/>
      <x:c r="R189" s="25"/>
      <x:c r="S189" s="25"/>
      <x:c r="T189" s="25"/>
      <x:c r="U189" s="25"/>
      <x:c r="V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30"/>
      <x:c r="Q190" s="25"/>
      <x:c r="R190" s="25"/>
      <x:c r="S190" s="25"/>
      <x:c r="T190" s="25"/>
      <x:c r="U190" s="25"/>
      <x:c r="V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30"/>
      <x:c r="Q191" s="25"/>
      <x:c r="R191" s="25"/>
      <x:c r="S191" s="25"/>
      <x:c r="T191" s="25"/>
      <x:c r="U191" s="25"/>
      <x:c r="V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30"/>
      <x:c r="Q192" s="25"/>
      <x:c r="R192" s="25"/>
      <x:c r="S192" s="25"/>
      <x:c r="T192" s="25"/>
      <x:c r="U192" s="25"/>
      <x:c r="V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30"/>
      <x:c r="Q193" s="25"/>
      <x:c r="R193" s="25"/>
      <x:c r="S193" s="25"/>
      <x:c r="T193" s="25"/>
      <x:c r="U193" s="25"/>
      <x:c r="V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30"/>
      <x:c r="Q194" s="25"/>
      <x:c r="R194" s="25"/>
      <x:c r="S194" s="25"/>
      <x:c r="T194" s="25"/>
      <x:c r="U194" s="25"/>
      <x:c r="V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30"/>
      <x:c r="Q195" s="25"/>
      <x:c r="R195" s="25"/>
      <x:c r="S195" s="25"/>
      <x:c r="T195" s="25"/>
      <x:c r="U195" s="25"/>
      <x:c r="V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30"/>
      <x:c r="Q196" s="25"/>
      <x:c r="R196" s="25"/>
      <x:c r="S196" s="25"/>
      <x:c r="T196" s="25"/>
      <x:c r="U196" s="25"/>
      <x:c r="V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30"/>
      <x:c r="Q197" s="25"/>
      <x:c r="R197" s="25"/>
      <x:c r="S197" s="25"/>
      <x:c r="T197" s="25"/>
      <x:c r="U197" s="25"/>
      <x:c r="V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30"/>
      <x:c r="Q198" s="25"/>
      <x:c r="R198" s="25"/>
      <x:c r="S198" s="25"/>
      <x:c r="T198" s="25"/>
      <x:c r="U198" s="25"/>
      <x:c r="V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30"/>
      <x:c r="Q199" s="25"/>
      <x:c r="R199" s="25"/>
      <x:c r="S199" s="25"/>
      <x:c r="T199" s="25"/>
      <x:c r="U199" s="25"/>
      <x:c r="V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30"/>
      <x:c r="Q200" s="25"/>
      <x:c r="R200" s="25"/>
      <x:c r="S200" s="25"/>
      <x:c r="T200" s="25"/>
      <x:c r="U200" s="25"/>
      <x:c r="V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30"/>
      <x:c r="Q201" s="25"/>
      <x:c r="R201" s="25"/>
      <x:c r="S201" s="25"/>
      <x:c r="T201" s="25"/>
      <x:c r="U201" s="25"/>
      <x:c r="V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30"/>
      <x:c r="Q202" s="25"/>
      <x:c r="R202" s="25"/>
      <x:c r="S202" s="25"/>
      <x:c r="T202" s="25"/>
      <x:c r="U202" s="25"/>
      <x:c r="V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30"/>
      <x:c r="Q203" s="25"/>
      <x:c r="R203" s="25"/>
      <x:c r="S203" s="25"/>
      <x:c r="T203" s="25"/>
      <x:c r="U203" s="25"/>
      <x:c r="V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30"/>
      <x:c r="Q204" s="25"/>
      <x:c r="R204" s="25"/>
      <x:c r="S204" s="25"/>
      <x:c r="T204" s="25"/>
      <x:c r="U204" s="25"/>
      <x:c r="V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30"/>
      <x:c r="Q205" s="25"/>
      <x:c r="R205" s="25"/>
      <x:c r="S205" s="25"/>
      <x:c r="T205" s="25"/>
      <x:c r="U205" s="25"/>
      <x:c r="V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30"/>
      <x:c r="Q206" s="25"/>
      <x:c r="R206" s="25"/>
      <x:c r="S206" s="25"/>
      <x:c r="T206" s="25"/>
      <x:c r="U206" s="25"/>
      <x:c r="V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30"/>
      <x:c r="Q207" s="25"/>
      <x:c r="R207" s="25"/>
      <x:c r="S207" s="25"/>
      <x:c r="T207" s="25"/>
      <x:c r="U207" s="25"/>
      <x:c r="V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30"/>
      <x:c r="Q208" s="25"/>
      <x:c r="R208" s="25"/>
      <x:c r="S208" s="25"/>
      <x:c r="T208" s="25"/>
      <x:c r="U208" s="25"/>
      <x:c r="V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30"/>
      <x:c r="Q209" s="25"/>
      <x:c r="R209" s="25"/>
      <x:c r="S209" s="25"/>
      <x:c r="T209" s="25"/>
      <x:c r="U209" s="25"/>
      <x:c r="V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30"/>
      <x:c r="Q210" s="25"/>
      <x:c r="R210" s="25"/>
      <x:c r="S210" s="25"/>
      <x:c r="T210" s="25"/>
      <x:c r="U210" s="25"/>
      <x:c r="V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30"/>
      <x:c r="Q211" s="25"/>
      <x:c r="R211" s="25"/>
      <x:c r="S211" s="25"/>
      <x:c r="T211" s="25"/>
      <x:c r="U211" s="25"/>
      <x:c r="V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30"/>
      <x:c r="Q212" s="25"/>
      <x:c r="R212" s="25"/>
      <x:c r="S212" s="25"/>
      <x:c r="T212" s="25"/>
      <x:c r="U212" s="25"/>
      <x:c r="V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30"/>
      <x:c r="Q213" s="25"/>
      <x:c r="R213" s="25"/>
      <x:c r="S213" s="25"/>
      <x:c r="T213" s="25"/>
      <x:c r="U213" s="25"/>
      <x:c r="V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30"/>
      <x:c r="Q214" s="25"/>
      <x:c r="R214" s="25"/>
      <x:c r="S214" s="25"/>
      <x:c r="T214" s="25"/>
      <x:c r="U214" s="25"/>
      <x:c r="V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30"/>
      <x:c r="Q215" s="25"/>
      <x:c r="R215" s="25"/>
      <x:c r="S215" s="25"/>
      <x:c r="T215" s="25"/>
      <x:c r="U215" s="25"/>
      <x:c r="V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30"/>
      <x:c r="Q216" s="25"/>
      <x:c r="R216" s="25"/>
      <x:c r="S216" s="25"/>
      <x:c r="T216" s="25"/>
      <x:c r="U216" s="25"/>
      <x:c r="V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30"/>
      <x:c r="Q217" s="25"/>
      <x:c r="R217" s="25"/>
      <x:c r="S217" s="25"/>
      <x:c r="T217" s="25"/>
      <x:c r="U217" s="25"/>
      <x:c r="V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30"/>
      <x:c r="Q218" s="25"/>
      <x:c r="R218" s="25"/>
      <x:c r="S218" s="25"/>
      <x:c r="T218" s="25"/>
      <x:c r="U218" s="25"/>
      <x:c r="V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30"/>
      <x:c r="Q219" s="25"/>
      <x:c r="R219" s="25"/>
      <x:c r="S219" s="25"/>
      <x:c r="T219" s="25"/>
      <x:c r="U219" s="25"/>
      <x:c r="V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30"/>
      <x:c r="Q220" s="25"/>
      <x:c r="R220" s="25"/>
      <x:c r="S220" s="25"/>
      <x:c r="T220" s="25"/>
      <x:c r="U220" s="25"/>
      <x:c r="V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30"/>
      <x:c r="Q221" s="25"/>
      <x:c r="R221" s="25"/>
      <x:c r="S221" s="25"/>
      <x:c r="T221" s="25"/>
      <x:c r="U221" s="25"/>
      <x:c r="V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30"/>
      <x:c r="Q222" s="25"/>
      <x:c r="R222" s="25"/>
      <x:c r="S222" s="25"/>
      <x:c r="T222" s="25"/>
      <x:c r="U222" s="25"/>
      <x:c r="V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30"/>
      <x:c r="Q223" s="25"/>
      <x:c r="R223" s="25"/>
      <x:c r="S223" s="25"/>
      <x:c r="T223" s="25"/>
      <x:c r="U223" s="25"/>
      <x:c r="V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30"/>
      <x:c r="Q224" s="25"/>
      <x:c r="R224" s="25"/>
      <x:c r="S224" s="25"/>
      <x:c r="T224" s="25"/>
      <x:c r="U224" s="25"/>
      <x:c r="V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30"/>
      <x:c r="Q225" s="25"/>
      <x:c r="R225" s="25"/>
      <x:c r="S225" s="25"/>
      <x:c r="T225" s="25"/>
      <x:c r="U225" s="25"/>
      <x:c r="V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30"/>
      <x:c r="Q226" s="25"/>
      <x:c r="R226" s="25"/>
      <x:c r="S226" s="25"/>
      <x:c r="T226" s="25"/>
      <x:c r="U226" s="25"/>
      <x:c r="V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30"/>
      <x:c r="Q227" s="25"/>
      <x:c r="R227" s="25"/>
      <x:c r="S227" s="25"/>
      <x:c r="T227" s="25"/>
      <x:c r="U227" s="25"/>
      <x:c r="V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30"/>
      <x:c r="Q228" s="25"/>
      <x:c r="R228" s="25"/>
      <x:c r="S228" s="25"/>
      <x:c r="T228" s="25"/>
      <x:c r="U228" s="25"/>
      <x:c r="V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30"/>
      <x:c r="Q229" s="25"/>
      <x:c r="R229" s="25"/>
      <x:c r="S229" s="25"/>
      <x:c r="T229" s="25"/>
      <x:c r="U229" s="25"/>
      <x:c r="V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30"/>
      <x:c r="Q230" s="25"/>
      <x:c r="R230" s="25"/>
      <x:c r="S230" s="25"/>
      <x:c r="T230" s="25"/>
      <x:c r="U230" s="25"/>
      <x:c r="V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30"/>
      <x:c r="Q231" s="25"/>
      <x:c r="R231" s="25"/>
      <x:c r="S231" s="25"/>
      <x:c r="T231" s="25"/>
      <x:c r="U231" s="25"/>
      <x:c r="V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30"/>
      <x:c r="Q232" s="25"/>
      <x:c r="R232" s="25"/>
      <x:c r="S232" s="25"/>
      <x:c r="T232" s="25"/>
      <x:c r="U232" s="25"/>
      <x:c r="V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30"/>
      <x:c r="Q233" s="25"/>
      <x:c r="R233" s="25"/>
      <x:c r="S233" s="25"/>
      <x:c r="T233" s="25"/>
      <x:c r="U233" s="25"/>
      <x:c r="V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30"/>
      <x:c r="Q234" s="25"/>
      <x:c r="R234" s="25"/>
      <x:c r="S234" s="25"/>
      <x:c r="T234" s="25"/>
      <x:c r="U234" s="25"/>
      <x:c r="V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30"/>
      <x:c r="Q235" s="25"/>
      <x:c r="R235" s="25"/>
      <x:c r="S235" s="25"/>
      <x:c r="T235" s="25"/>
      <x:c r="U235" s="25"/>
      <x:c r="V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30"/>
      <x:c r="Q236" s="25"/>
      <x:c r="R236" s="25"/>
      <x:c r="S236" s="25"/>
      <x:c r="T236" s="25"/>
      <x:c r="U236" s="25"/>
      <x:c r="V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30"/>
      <x:c r="Q237" s="25"/>
      <x:c r="R237" s="25"/>
      <x:c r="S237" s="25"/>
      <x:c r="T237" s="25"/>
      <x:c r="U237" s="25"/>
      <x:c r="V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30"/>
      <x:c r="Q238" s="25"/>
      <x:c r="R238" s="25"/>
      <x:c r="S238" s="25"/>
      <x:c r="T238" s="25"/>
      <x:c r="U238" s="25"/>
      <x:c r="V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30"/>
      <x:c r="Q239" s="25"/>
      <x:c r="R239" s="25"/>
      <x:c r="S239" s="25"/>
      <x:c r="T239" s="25"/>
      <x:c r="U239" s="25"/>
      <x:c r="V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30"/>
      <x:c r="Q240" s="25"/>
      <x:c r="R240" s="25"/>
      <x:c r="S240" s="25"/>
      <x:c r="T240" s="25"/>
      <x:c r="U240" s="25"/>
      <x:c r="V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30"/>
      <x:c r="Q241" s="25"/>
      <x:c r="R241" s="25"/>
      <x:c r="S241" s="25"/>
      <x:c r="T241" s="25"/>
      <x:c r="U241" s="25"/>
      <x:c r="V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30"/>
      <x:c r="Q242" s="25"/>
      <x:c r="R242" s="25"/>
      <x:c r="S242" s="25"/>
      <x:c r="T242" s="25"/>
      <x:c r="U242" s="25"/>
      <x:c r="V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30"/>
      <x:c r="Q243" s="25"/>
      <x:c r="R243" s="25"/>
      <x:c r="S243" s="25"/>
      <x:c r="T243" s="25"/>
      <x:c r="U243" s="25"/>
      <x:c r="V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30"/>
      <x:c r="Q244" s="25"/>
      <x:c r="R244" s="25"/>
      <x:c r="S244" s="25"/>
      <x:c r="T244" s="25"/>
      <x:c r="U244" s="25"/>
      <x:c r="V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30"/>
      <x:c r="Q245" s="25"/>
      <x:c r="R245" s="25"/>
      <x:c r="S245" s="25"/>
      <x:c r="T245" s="25"/>
      <x:c r="U245" s="25"/>
      <x:c r="V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30"/>
      <x:c r="Q246" s="25"/>
      <x:c r="R246" s="25"/>
      <x:c r="S246" s="25"/>
      <x:c r="T246" s="25"/>
      <x:c r="U246" s="25"/>
      <x:c r="V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30"/>
      <x:c r="Q247" s="25"/>
      <x:c r="R247" s="25"/>
      <x:c r="S247" s="25"/>
      <x:c r="T247" s="25"/>
      <x:c r="U247" s="25"/>
      <x:c r="V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30"/>
      <x:c r="Q248" s="25"/>
      <x:c r="R248" s="25"/>
      <x:c r="S248" s="25"/>
      <x:c r="T248" s="25"/>
      <x:c r="U248" s="25"/>
      <x:c r="V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30"/>
      <x:c r="Q249" s="25"/>
      <x:c r="R249" s="25"/>
      <x:c r="S249" s="25"/>
      <x:c r="T249" s="25"/>
      <x:c r="U249" s="25"/>
      <x:c r="V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30"/>
      <x:c r="Q250" s="25"/>
      <x:c r="R250" s="25"/>
      <x:c r="S250" s="25"/>
      <x:c r="T250" s="25"/>
      <x:c r="U250" s="25"/>
      <x:c r="V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30"/>
      <x:c r="Q251" s="25"/>
      <x:c r="R251" s="25"/>
      <x:c r="S251" s="25"/>
      <x:c r="T251" s="25"/>
      <x:c r="U251" s="25"/>
      <x:c r="V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30"/>
      <x:c r="Q252" s="25"/>
      <x:c r="R252" s="25"/>
      <x:c r="S252" s="25"/>
      <x:c r="T252" s="25"/>
      <x:c r="U252" s="25"/>
      <x:c r="V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30"/>
      <x:c r="Q253" s="25"/>
      <x:c r="R253" s="25"/>
      <x:c r="S253" s="25"/>
      <x:c r="T253" s="25"/>
      <x:c r="U253" s="25"/>
      <x:c r="V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30"/>
      <x:c r="Q254" s="25"/>
      <x:c r="R254" s="25"/>
      <x:c r="S254" s="25"/>
      <x:c r="T254" s="25"/>
      <x:c r="U254" s="25"/>
      <x:c r="V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30"/>
      <x:c r="Q255" s="25"/>
      <x:c r="R255" s="25"/>
      <x:c r="S255" s="25"/>
      <x:c r="T255" s="25"/>
      <x:c r="U255" s="25"/>
      <x:c r="V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30"/>
      <x:c r="Q256" s="25"/>
      <x:c r="R256" s="25"/>
      <x:c r="S256" s="25"/>
      <x:c r="T256" s="25"/>
      <x:c r="U256" s="25"/>
      <x:c r="V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30"/>
      <x:c r="Q257" s="25"/>
      <x:c r="R257" s="25"/>
      <x:c r="S257" s="25"/>
      <x:c r="T257" s="25"/>
      <x:c r="U257" s="25"/>
      <x:c r="V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30"/>
      <x:c r="Q258" s="25"/>
      <x:c r="R258" s="25"/>
      <x:c r="S258" s="25"/>
      <x:c r="T258" s="25"/>
      <x:c r="U258" s="25"/>
      <x:c r="V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30"/>
      <x:c r="Q259" s="25"/>
      <x:c r="R259" s="25"/>
      <x:c r="S259" s="25"/>
      <x:c r="T259" s="25"/>
      <x:c r="U259" s="25"/>
      <x:c r="V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30"/>
      <x:c r="Q260" s="25"/>
      <x:c r="R260" s="25"/>
      <x:c r="S260" s="25"/>
      <x:c r="T260" s="25"/>
      <x:c r="U260" s="25"/>
      <x:c r="V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30"/>
      <x:c r="Q261" s="25"/>
      <x:c r="R261" s="25"/>
      <x:c r="S261" s="25"/>
      <x:c r="T261" s="25"/>
      <x:c r="U261" s="25"/>
      <x:c r="V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30"/>
      <x:c r="Q262" s="25"/>
      <x:c r="R262" s="25"/>
      <x:c r="S262" s="25"/>
      <x:c r="T262" s="25"/>
      <x:c r="U262" s="25"/>
      <x:c r="V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30"/>
      <x:c r="Q263" s="25"/>
      <x:c r="R263" s="25"/>
      <x:c r="S263" s="25"/>
      <x:c r="T263" s="25"/>
      <x:c r="U263" s="25"/>
      <x:c r="V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30"/>
      <x:c r="Q264" s="25"/>
      <x:c r="R264" s="25"/>
      <x:c r="S264" s="25"/>
      <x:c r="T264" s="25"/>
      <x:c r="U264" s="25"/>
      <x:c r="V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30"/>
      <x:c r="Q265" s="25"/>
      <x:c r="R265" s="25"/>
      <x:c r="S265" s="25"/>
      <x:c r="T265" s="25"/>
      <x:c r="U265" s="25"/>
      <x:c r="V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30"/>
      <x:c r="Q266" s="25"/>
      <x:c r="R266" s="25"/>
      <x:c r="S266" s="25"/>
      <x:c r="T266" s="25"/>
      <x:c r="U266" s="25"/>
      <x:c r="V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30"/>
      <x:c r="Q267" s="25"/>
      <x:c r="R267" s="25"/>
      <x:c r="S267" s="25"/>
      <x:c r="T267" s="25"/>
      <x:c r="U267" s="25"/>
      <x:c r="V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30"/>
      <x:c r="Q268" s="25"/>
      <x:c r="R268" s="25"/>
      <x:c r="S268" s="25"/>
      <x:c r="T268" s="25"/>
      <x:c r="U268" s="25"/>
      <x:c r="V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30"/>
      <x:c r="Q269" s="25"/>
      <x:c r="R269" s="25"/>
      <x:c r="S269" s="25"/>
      <x:c r="T269" s="25"/>
      <x:c r="U269" s="25"/>
      <x:c r="V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30"/>
      <x:c r="Q270" s="25"/>
      <x:c r="R270" s="25"/>
      <x:c r="S270" s="25"/>
      <x:c r="T270" s="25"/>
      <x:c r="U270" s="25"/>
      <x:c r="V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30"/>
      <x:c r="Q271" s="25"/>
      <x:c r="R271" s="25"/>
      <x:c r="S271" s="25"/>
      <x:c r="T271" s="25"/>
      <x:c r="U271" s="25"/>
      <x:c r="V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30"/>
      <x:c r="Q272" s="25"/>
      <x:c r="R272" s="25"/>
      <x:c r="S272" s="25"/>
      <x:c r="T272" s="25"/>
      <x:c r="U272" s="25"/>
      <x:c r="V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30"/>
      <x:c r="Q273" s="25"/>
      <x:c r="R273" s="25"/>
      <x:c r="S273" s="25"/>
      <x:c r="T273" s="25"/>
      <x:c r="U273" s="25"/>
      <x:c r="V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30"/>
      <x:c r="Q274" s="25"/>
      <x:c r="R274" s="25"/>
      <x:c r="S274" s="25"/>
      <x:c r="T274" s="25"/>
      <x:c r="U274" s="25"/>
      <x:c r="V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30"/>
      <x:c r="Q275" s="25"/>
      <x:c r="R275" s="25"/>
      <x:c r="S275" s="25"/>
      <x:c r="T275" s="25"/>
      <x:c r="U275" s="25"/>
      <x:c r="V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30"/>
      <x:c r="Q276" s="25"/>
      <x:c r="R276" s="25"/>
      <x:c r="S276" s="25"/>
      <x:c r="T276" s="25"/>
      <x:c r="U276" s="25"/>
      <x:c r="V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30"/>
      <x:c r="Q277" s="25"/>
      <x:c r="R277" s="25"/>
      <x:c r="S277" s="25"/>
      <x:c r="T277" s="25"/>
      <x:c r="U277" s="25"/>
      <x:c r="V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30"/>
      <x:c r="Q278" s="25"/>
      <x:c r="R278" s="25"/>
      <x:c r="S278" s="25"/>
      <x:c r="T278" s="25"/>
      <x:c r="U278" s="25"/>
      <x:c r="V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30"/>
      <x:c r="Q279" s="25"/>
      <x:c r="R279" s="25"/>
      <x:c r="S279" s="25"/>
      <x:c r="T279" s="25"/>
      <x:c r="U279" s="25"/>
      <x:c r="V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30"/>
      <x:c r="Q280" s="25"/>
      <x:c r="R280" s="25"/>
      <x:c r="S280" s="25"/>
      <x:c r="T280" s="25"/>
      <x:c r="U280" s="25"/>
      <x:c r="V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30"/>
      <x:c r="Q281" s="25"/>
      <x:c r="R281" s="25"/>
      <x:c r="S281" s="25"/>
      <x:c r="T281" s="25"/>
      <x:c r="U281" s="25"/>
      <x:c r="V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30"/>
      <x:c r="Q282" s="25"/>
      <x:c r="R282" s="25"/>
      <x:c r="S282" s="25"/>
      <x:c r="T282" s="25"/>
      <x:c r="U282" s="25"/>
      <x:c r="V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30"/>
      <x:c r="Q283" s="25"/>
      <x:c r="R283" s="25"/>
      <x:c r="S283" s="25"/>
      <x:c r="T283" s="25"/>
      <x:c r="U283" s="25"/>
      <x:c r="V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30"/>
      <x:c r="Q284" s="25"/>
      <x:c r="R284" s="25"/>
      <x:c r="S284" s="25"/>
      <x:c r="T284" s="25"/>
      <x:c r="U284" s="25"/>
      <x:c r="V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30"/>
      <x:c r="Q285" s="25"/>
      <x:c r="R285" s="25"/>
      <x:c r="S285" s="25"/>
      <x:c r="T285" s="25"/>
      <x:c r="U285" s="25"/>
      <x:c r="V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30"/>
      <x:c r="Q286" s="25"/>
      <x:c r="R286" s="25"/>
      <x:c r="S286" s="25"/>
      <x:c r="T286" s="25"/>
      <x:c r="U286" s="25"/>
      <x:c r="V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30"/>
      <x:c r="Q287" s="25"/>
      <x:c r="R287" s="25"/>
      <x:c r="S287" s="25"/>
      <x:c r="T287" s="25"/>
      <x:c r="U287" s="25"/>
      <x:c r="V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30"/>
      <x:c r="Q288" s="25"/>
      <x:c r="R288" s="25"/>
      <x:c r="S288" s="25"/>
      <x:c r="T288" s="25"/>
      <x:c r="U288" s="25"/>
      <x:c r="V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30"/>
      <x:c r="Q289" s="25"/>
      <x:c r="R289" s="25"/>
      <x:c r="S289" s="25"/>
      <x:c r="T289" s="25"/>
      <x:c r="U289" s="25"/>
      <x:c r="V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30"/>
      <x:c r="Q290" s="25"/>
      <x:c r="R290" s="25"/>
      <x:c r="S290" s="25"/>
      <x:c r="T290" s="25"/>
      <x:c r="U290" s="25"/>
      <x:c r="V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30"/>
      <x:c r="Q291" s="25"/>
      <x:c r="R291" s="25"/>
      <x:c r="S291" s="25"/>
      <x:c r="T291" s="25"/>
      <x:c r="U291" s="25"/>
      <x:c r="V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30"/>
      <x:c r="Q292" s="25"/>
      <x:c r="R292" s="25"/>
      <x:c r="S292" s="25"/>
      <x:c r="T292" s="25"/>
      <x:c r="U292" s="25"/>
      <x:c r="V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30"/>
      <x:c r="Q293" s="25"/>
      <x:c r="R293" s="25"/>
      <x:c r="S293" s="25"/>
      <x:c r="T293" s="25"/>
      <x:c r="U293" s="25"/>
      <x:c r="V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30"/>
      <x:c r="Q294" s="25"/>
      <x:c r="R294" s="25"/>
      <x:c r="S294" s="25"/>
      <x:c r="T294" s="25"/>
      <x:c r="U294" s="25"/>
      <x:c r="V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30"/>
      <x:c r="Q295" s="25"/>
      <x:c r="R295" s="25"/>
      <x:c r="S295" s="25"/>
      <x:c r="T295" s="25"/>
      <x:c r="U295" s="25"/>
      <x:c r="V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30"/>
      <x:c r="Q296" s="25"/>
      <x:c r="R296" s="25"/>
      <x:c r="S296" s="25"/>
      <x:c r="T296" s="25"/>
      <x:c r="U296" s="25"/>
      <x:c r="V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30"/>
      <x:c r="Q297" s="25"/>
      <x:c r="R297" s="25"/>
      <x:c r="S297" s="25"/>
      <x:c r="T297" s="25"/>
      <x:c r="U297" s="25"/>
      <x:c r="V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30"/>
      <x:c r="Q298" s="25"/>
      <x:c r="R298" s="25"/>
      <x:c r="S298" s="25"/>
      <x:c r="T298" s="25"/>
      <x:c r="U298" s="25"/>
      <x:c r="V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30"/>
      <x:c r="Q299" s="25"/>
      <x:c r="R299" s="25"/>
      <x:c r="S299" s="25"/>
      <x:c r="T299" s="25"/>
      <x:c r="U299" s="25"/>
      <x:c r="V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30"/>
      <x:c r="Q300" s="25"/>
      <x:c r="R300" s="25"/>
      <x:c r="S300" s="25"/>
      <x:c r="T300" s="25"/>
      <x:c r="U300" s="25"/>
      <x:c r="V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30"/>
      <x:c r="Q301" s="25"/>
      <x:c r="R301" s="25"/>
      <x:c r="S301" s="25"/>
      <x:c r="T301" s="25"/>
      <x:c r="U301" s="25"/>
      <x:c r="V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30"/>
      <x:c r="Q302" s="25"/>
      <x:c r="R302" s="25"/>
      <x:c r="S302" s="25"/>
      <x:c r="T302" s="25"/>
      <x:c r="U302" s="25"/>
      <x:c r="V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30"/>
      <x:c r="Q303" s="25"/>
      <x:c r="R303" s="25"/>
      <x:c r="S303" s="25"/>
      <x:c r="T303" s="25"/>
      <x:c r="U303" s="25"/>
      <x:c r="V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30"/>
      <x:c r="Q304" s="25"/>
      <x:c r="R304" s="25"/>
      <x:c r="S304" s="25"/>
      <x:c r="T304" s="25"/>
      <x:c r="U304" s="25"/>
      <x:c r="V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30"/>
      <x:c r="Q305" s="25"/>
      <x:c r="R305" s="25"/>
      <x:c r="S305" s="25"/>
      <x:c r="T305" s="25"/>
      <x:c r="U305" s="25"/>
      <x:c r="V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30"/>
      <x:c r="Q306" s="25"/>
      <x:c r="R306" s="25"/>
      <x:c r="S306" s="25"/>
      <x:c r="T306" s="25"/>
      <x:c r="U306" s="25"/>
      <x:c r="V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30"/>
      <x:c r="Q307" s="25"/>
      <x:c r="R307" s="25"/>
      <x:c r="S307" s="25"/>
      <x:c r="T307" s="25"/>
      <x:c r="U307" s="25"/>
      <x:c r="V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30"/>
      <x:c r="Q308" s="25"/>
      <x:c r="R308" s="25"/>
      <x:c r="S308" s="25"/>
      <x:c r="T308" s="25"/>
      <x:c r="U308" s="25"/>
      <x:c r="V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30"/>
      <x:c r="Q309" s="25"/>
      <x:c r="R309" s="25"/>
      <x:c r="S309" s="25"/>
      <x:c r="T309" s="25"/>
      <x:c r="U309" s="25"/>
      <x:c r="V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30"/>
      <x:c r="Q310" s="25"/>
      <x:c r="R310" s="25"/>
      <x:c r="S310" s="25"/>
      <x:c r="T310" s="25"/>
      <x:c r="U310" s="25"/>
      <x:c r="V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30"/>
      <x:c r="Q311" s="25"/>
      <x:c r="R311" s="25"/>
      <x:c r="S311" s="25"/>
      <x:c r="T311" s="25"/>
      <x:c r="U311" s="25"/>
      <x:c r="V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30"/>
      <x:c r="Q312" s="25"/>
      <x:c r="R312" s="25"/>
      <x:c r="S312" s="25"/>
      <x:c r="T312" s="25"/>
      <x:c r="U312" s="25"/>
      <x:c r="V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30"/>
      <x:c r="Q313" s="25"/>
      <x:c r="R313" s="25"/>
      <x:c r="S313" s="25"/>
      <x:c r="T313" s="25"/>
      <x:c r="U313" s="25"/>
      <x:c r="V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30"/>
      <x:c r="Q314" s="25"/>
      <x:c r="R314" s="25"/>
      <x:c r="S314" s="25"/>
      <x:c r="T314" s="25"/>
      <x:c r="U314" s="25"/>
      <x:c r="V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30"/>
      <x:c r="Q315" s="25"/>
      <x:c r="R315" s="25"/>
      <x:c r="S315" s="25"/>
      <x:c r="T315" s="25"/>
      <x:c r="U315" s="25"/>
      <x:c r="V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30"/>
      <x:c r="Q316" s="25"/>
      <x:c r="R316" s="25"/>
      <x:c r="S316" s="25"/>
      <x:c r="T316" s="25"/>
      <x:c r="U316" s="25"/>
      <x:c r="V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30"/>
      <x:c r="Q317" s="25"/>
      <x:c r="R317" s="25"/>
      <x:c r="S317" s="25"/>
      <x:c r="T317" s="25"/>
      <x:c r="U317" s="25"/>
      <x:c r="V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30"/>
      <x:c r="Q318" s="25"/>
      <x:c r="R318" s="25"/>
      <x:c r="S318" s="25"/>
      <x:c r="T318" s="25"/>
      <x:c r="U318" s="25"/>
      <x:c r="V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30"/>
      <x:c r="Q319" s="25"/>
      <x:c r="R319" s="25"/>
      <x:c r="S319" s="25"/>
      <x:c r="T319" s="25"/>
      <x:c r="U319" s="25"/>
      <x:c r="V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30"/>
      <x:c r="Q320" s="25"/>
      <x:c r="R320" s="25"/>
      <x:c r="S320" s="25"/>
      <x:c r="T320" s="25"/>
      <x:c r="U320" s="25"/>
      <x:c r="V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30"/>
      <x:c r="Q321" s="25"/>
      <x:c r="R321" s="25"/>
      <x:c r="S321" s="25"/>
      <x:c r="T321" s="25"/>
      <x:c r="U321" s="25"/>
      <x:c r="V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30"/>
      <x:c r="Q322" s="25"/>
      <x:c r="R322" s="25"/>
      <x:c r="S322" s="25"/>
      <x:c r="T322" s="25"/>
      <x:c r="U322" s="25"/>
      <x:c r="V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30"/>
      <x:c r="Q323" s="25"/>
      <x:c r="R323" s="25"/>
      <x:c r="S323" s="25"/>
      <x:c r="T323" s="25"/>
      <x:c r="U323" s="25"/>
      <x:c r="V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30"/>
      <x:c r="Q324" s="25"/>
      <x:c r="R324" s="25"/>
      <x:c r="S324" s="25"/>
      <x:c r="T324" s="25"/>
      <x:c r="U324" s="25"/>
      <x:c r="V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30"/>
      <x:c r="Q325" s="25"/>
      <x:c r="R325" s="25"/>
      <x:c r="S325" s="25"/>
      <x:c r="T325" s="25"/>
      <x:c r="U325" s="25"/>
      <x:c r="V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30"/>
      <x:c r="Q326" s="25"/>
      <x:c r="R326" s="25"/>
      <x:c r="S326" s="25"/>
      <x:c r="T326" s="25"/>
      <x:c r="U326" s="25"/>
      <x:c r="V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30"/>
      <x:c r="Q327" s="25"/>
      <x:c r="R327" s="25"/>
      <x:c r="S327" s="25"/>
      <x:c r="T327" s="25"/>
      <x:c r="U327" s="25"/>
      <x:c r="V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30"/>
      <x:c r="Q328" s="25"/>
      <x:c r="R328" s="25"/>
      <x:c r="S328" s="25"/>
      <x:c r="T328" s="25"/>
      <x:c r="U328" s="25"/>
      <x:c r="V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30"/>
      <x:c r="Q329" s="25"/>
      <x:c r="R329" s="25"/>
      <x:c r="S329" s="25"/>
      <x:c r="T329" s="25"/>
      <x:c r="U329" s="25"/>
      <x:c r="V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30"/>
      <x:c r="Q330" s="25"/>
      <x:c r="R330" s="25"/>
      <x:c r="S330" s="25"/>
      <x:c r="T330" s="25"/>
      <x:c r="U330" s="25"/>
      <x:c r="V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30"/>
      <x:c r="Q331" s="25"/>
      <x:c r="R331" s="25"/>
      <x:c r="S331" s="25"/>
      <x:c r="T331" s="25"/>
      <x:c r="U331" s="25"/>
      <x:c r="V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30"/>
      <x:c r="Q332" s="25"/>
      <x:c r="R332" s="25"/>
      <x:c r="S332" s="25"/>
      <x:c r="T332" s="25"/>
      <x:c r="U332" s="25"/>
      <x:c r="V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30"/>
      <x:c r="Q333" s="25"/>
      <x:c r="R333" s="25"/>
      <x:c r="S333" s="25"/>
      <x:c r="T333" s="25"/>
      <x:c r="U333" s="25"/>
      <x:c r="V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30"/>
      <x:c r="Q334" s="25"/>
      <x:c r="R334" s="25"/>
      <x:c r="S334" s="25"/>
      <x:c r="T334" s="25"/>
      <x:c r="U334" s="25"/>
      <x:c r="V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30"/>
      <x:c r="Q335" s="25"/>
      <x:c r="R335" s="25"/>
      <x:c r="S335" s="25"/>
      <x:c r="T335" s="25"/>
      <x:c r="U335" s="25"/>
      <x:c r="V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30"/>
      <x:c r="Q336" s="25"/>
      <x:c r="R336" s="25"/>
      <x:c r="S336" s="25"/>
      <x:c r="T336" s="25"/>
      <x:c r="U336" s="25"/>
      <x:c r="V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30"/>
      <x:c r="Q337" s="25"/>
      <x:c r="R337" s="25"/>
      <x:c r="S337" s="25"/>
      <x:c r="T337" s="25"/>
      <x:c r="U337" s="25"/>
      <x:c r="V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30"/>
      <x:c r="Q338" s="25"/>
      <x:c r="R338" s="25"/>
      <x:c r="S338" s="25"/>
      <x:c r="T338" s="25"/>
      <x:c r="U338" s="25"/>
      <x:c r="V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30"/>
      <x:c r="Q339" s="25"/>
      <x:c r="R339" s="25"/>
      <x:c r="S339" s="25"/>
      <x:c r="T339" s="25"/>
      <x:c r="U339" s="25"/>
      <x:c r="V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30"/>
      <x:c r="Q340" s="25"/>
      <x:c r="R340" s="25"/>
      <x:c r="S340" s="25"/>
      <x:c r="T340" s="25"/>
      <x:c r="U340" s="25"/>
      <x:c r="V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30"/>
      <x:c r="Q341" s="25"/>
      <x:c r="R341" s="25"/>
      <x:c r="S341" s="25"/>
      <x:c r="T341" s="25"/>
      <x:c r="U341" s="25"/>
      <x:c r="V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30"/>
      <x:c r="Q342" s="25"/>
      <x:c r="R342" s="25"/>
      <x:c r="S342" s="25"/>
      <x:c r="T342" s="25"/>
      <x:c r="U342" s="25"/>
      <x:c r="V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30"/>
      <x:c r="Q343" s="25"/>
      <x:c r="R343" s="25"/>
      <x:c r="S343" s="25"/>
      <x:c r="T343" s="25"/>
      <x:c r="U343" s="25"/>
      <x:c r="V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30"/>
      <x:c r="Q344" s="25"/>
      <x:c r="R344" s="25"/>
      <x:c r="S344" s="25"/>
      <x:c r="T344" s="25"/>
      <x:c r="U344" s="25"/>
      <x:c r="V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30"/>
      <x:c r="Q345" s="25"/>
      <x:c r="R345" s="25"/>
      <x:c r="S345" s="25"/>
      <x:c r="T345" s="25"/>
      <x:c r="U345" s="25"/>
      <x:c r="V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30"/>
      <x:c r="Q346" s="25"/>
      <x:c r="R346" s="25"/>
      <x:c r="S346" s="25"/>
      <x:c r="T346" s="25"/>
      <x:c r="U346" s="25"/>
      <x:c r="V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30"/>
      <x:c r="Q347" s="25"/>
      <x:c r="R347" s="25"/>
      <x:c r="S347" s="25"/>
      <x:c r="T347" s="25"/>
      <x:c r="U347" s="25"/>
      <x:c r="V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30"/>
      <x:c r="Q348" s="25"/>
      <x:c r="R348" s="25"/>
      <x:c r="S348" s="25"/>
      <x:c r="T348" s="25"/>
      <x:c r="U348" s="25"/>
      <x:c r="V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30"/>
      <x:c r="Q349" s="25"/>
      <x:c r="R349" s="25"/>
      <x:c r="S349" s="25"/>
      <x:c r="T349" s="25"/>
      <x:c r="U349" s="25"/>
      <x:c r="V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30"/>
      <x:c r="Q350" s="25"/>
      <x:c r="R350" s="25"/>
      <x:c r="S350" s="25"/>
      <x:c r="T350" s="25"/>
      <x:c r="U350" s="25"/>
      <x:c r="V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30"/>
      <x:c r="Q351" s="25"/>
      <x:c r="R351" s="25"/>
      <x:c r="S351" s="25"/>
      <x:c r="T351" s="25"/>
      <x:c r="U351" s="25"/>
      <x:c r="V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30"/>
      <x:c r="Q352" s="25"/>
      <x:c r="R352" s="25"/>
      <x:c r="S352" s="25"/>
      <x:c r="T352" s="25"/>
      <x:c r="U352" s="25"/>
      <x:c r="V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30"/>
      <x:c r="Q353" s="25"/>
      <x:c r="R353" s="25"/>
      <x:c r="S353" s="25"/>
      <x:c r="T353" s="25"/>
      <x:c r="U353" s="25"/>
      <x:c r="V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30"/>
      <x:c r="Q354" s="25"/>
      <x:c r="R354" s="25"/>
      <x:c r="S354" s="25"/>
      <x:c r="T354" s="25"/>
      <x:c r="U354" s="25"/>
      <x:c r="V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30"/>
      <x:c r="Q355" s="25"/>
      <x:c r="R355" s="25"/>
      <x:c r="S355" s="25"/>
      <x:c r="T355" s="25"/>
      <x:c r="U355" s="25"/>
      <x:c r="V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30"/>
      <x:c r="Q356" s="25"/>
      <x:c r="R356" s="25"/>
      <x:c r="S356" s="25"/>
      <x:c r="T356" s="25"/>
      <x:c r="U356" s="25"/>
      <x:c r="V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30"/>
      <x:c r="Q357" s="25"/>
      <x:c r="R357" s="25"/>
      <x:c r="S357" s="25"/>
      <x:c r="T357" s="25"/>
      <x:c r="U357" s="25"/>
      <x:c r="V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30"/>
      <x:c r="Q358" s="25"/>
      <x:c r="R358" s="25"/>
      <x:c r="S358" s="25"/>
      <x:c r="T358" s="25"/>
      <x:c r="U358" s="25"/>
      <x:c r="V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30"/>
      <x:c r="Q359" s="25"/>
      <x:c r="R359" s="25"/>
      <x:c r="S359" s="25"/>
      <x:c r="T359" s="25"/>
      <x:c r="U359" s="25"/>
      <x:c r="V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30"/>
      <x:c r="Q360" s="25"/>
      <x:c r="R360" s="25"/>
      <x:c r="S360" s="25"/>
      <x:c r="T360" s="25"/>
      <x:c r="U360" s="25"/>
      <x:c r="V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30"/>
      <x:c r="Q361" s="25"/>
      <x:c r="R361" s="25"/>
      <x:c r="S361" s="25"/>
      <x:c r="T361" s="25"/>
      <x:c r="U361" s="25"/>
      <x:c r="V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30"/>
      <x:c r="Q362" s="25"/>
      <x:c r="R362" s="25"/>
      <x:c r="S362" s="25"/>
      <x:c r="T362" s="25"/>
      <x:c r="U362" s="25"/>
      <x:c r="V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30"/>
      <x:c r="Q363" s="25"/>
      <x:c r="R363" s="25"/>
      <x:c r="S363" s="25"/>
      <x:c r="T363" s="25"/>
      <x:c r="U363" s="25"/>
      <x:c r="V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30"/>
      <x:c r="Q364" s="25"/>
      <x:c r="R364" s="25"/>
      <x:c r="S364" s="25"/>
      <x:c r="T364" s="25"/>
      <x:c r="U364" s="25"/>
      <x:c r="V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30"/>
      <x:c r="Q365" s="25"/>
      <x:c r="R365" s="25"/>
      <x:c r="S365" s="25"/>
      <x:c r="T365" s="25"/>
      <x:c r="U365" s="25"/>
      <x:c r="V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30"/>
      <x:c r="Q366" s="25"/>
      <x:c r="R366" s="25"/>
      <x:c r="S366" s="25"/>
      <x:c r="T366" s="25"/>
      <x:c r="U366" s="25"/>
      <x:c r="V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30"/>
      <x:c r="Q367" s="25"/>
      <x:c r="R367" s="25"/>
      <x:c r="S367" s="25"/>
      <x:c r="T367" s="25"/>
      <x:c r="U367" s="25"/>
      <x:c r="V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30"/>
      <x:c r="Q368" s="25"/>
      <x:c r="R368" s="25"/>
      <x:c r="S368" s="25"/>
      <x:c r="T368" s="25"/>
      <x:c r="U368" s="25"/>
      <x:c r="V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30"/>
      <x:c r="Q369" s="25"/>
      <x:c r="R369" s="25"/>
      <x:c r="S369" s="25"/>
      <x:c r="T369" s="25"/>
      <x:c r="U369" s="25"/>
      <x:c r="V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30"/>
      <x:c r="Q370" s="25"/>
      <x:c r="R370" s="25"/>
      <x:c r="S370" s="25"/>
      <x:c r="T370" s="25"/>
      <x:c r="U370" s="25"/>
      <x:c r="V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30"/>
      <x:c r="Q371" s="25"/>
      <x:c r="R371" s="25"/>
      <x:c r="S371" s="25"/>
      <x:c r="T371" s="25"/>
      <x:c r="U371" s="25"/>
      <x:c r="V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30"/>
      <x:c r="Q372" s="25"/>
      <x:c r="R372" s="25"/>
      <x:c r="S372" s="25"/>
      <x:c r="T372" s="25"/>
      <x:c r="U372" s="25"/>
      <x:c r="V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30"/>
      <x:c r="Q373" s="25"/>
      <x:c r="R373" s="25"/>
      <x:c r="S373" s="25"/>
      <x:c r="T373" s="25"/>
      <x:c r="U373" s="25"/>
      <x:c r="V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30"/>
      <x:c r="Q374" s="25"/>
      <x:c r="R374" s="25"/>
      <x:c r="S374" s="25"/>
      <x:c r="T374" s="25"/>
      <x:c r="U374" s="25"/>
      <x:c r="V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30"/>
      <x:c r="Q375" s="25"/>
      <x:c r="R375" s="25"/>
      <x:c r="S375" s="25"/>
      <x:c r="T375" s="25"/>
      <x:c r="U375" s="25"/>
      <x:c r="V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30"/>
      <x:c r="Q376" s="25"/>
      <x:c r="R376" s="25"/>
      <x:c r="S376" s="25"/>
      <x:c r="T376" s="25"/>
      <x:c r="U376" s="25"/>
      <x:c r="V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30"/>
      <x:c r="Q377" s="25"/>
      <x:c r="R377" s="25"/>
      <x:c r="S377" s="25"/>
      <x:c r="T377" s="25"/>
      <x:c r="U377" s="25"/>
      <x:c r="V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30"/>
      <x:c r="Q378" s="25"/>
      <x:c r="R378" s="25"/>
      <x:c r="S378" s="25"/>
      <x:c r="T378" s="25"/>
      <x:c r="U378" s="25"/>
      <x:c r="V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30"/>
      <x:c r="Q379" s="25"/>
      <x:c r="R379" s="25"/>
      <x:c r="S379" s="25"/>
      <x:c r="T379" s="25"/>
      <x:c r="U379" s="25"/>
      <x:c r="V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30"/>
      <x:c r="Q380" s="25"/>
      <x:c r="R380" s="25"/>
      <x:c r="S380" s="25"/>
      <x:c r="T380" s="25"/>
      <x:c r="U380" s="25"/>
      <x:c r="V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30"/>
      <x:c r="Q381" s="25"/>
      <x:c r="R381" s="25"/>
      <x:c r="S381" s="25"/>
      <x:c r="T381" s="25"/>
      <x:c r="U381" s="25"/>
      <x:c r="V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30"/>
      <x:c r="Q382" s="25"/>
      <x:c r="R382" s="25"/>
      <x:c r="S382" s="25"/>
      <x:c r="T382" s="25"/>
      <x:c r="U382" s="25"/>
      <x:c r="V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30"/>
      <x:c r="Q383" s="25"/>
      <x:c r="R383" s="25"/>
      <x:c r="S383" s="25"/>
      <x:c r="T383" s="25"/>
      <x:c r="U383" s="25"/>
      <x:c r="V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30"/>
      <x:c r="Q384" s="25"/>
      <x:c r="R384" s="25"/>
      <x:c r="S384" s="25"/>
      <x:c r="T384" s="25"/>
      <x:c r="U384" s="25"/>
      <x:c r="V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30"/>
      <x:c r="Q385" s="25"/>
      <x:c r="R385" s="25"/>
      <x:c r="S385" s="25"/>
      <x:c r="T385" s="25"/>
      <x:c r="U385" s="25"/>
      <x:c r="V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30"/>
      <x:c r="Q386" s="25"/>
      <x:c r="R386" s="25"/>
      <x:c r="S386" s="25"/>
      <x:c r="T386" s="25"/>
      <x:c r="U386" s="25"/>
      <x:c r="V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30"/>
      <x:c r="Q387" s="25"/>
      <x:c r="R387" s="25"/>
      <x:c r="S387" s="25"/>
      <x:c r="T387" s="25"/>
      <x:c r="U387" s="25"/>
      <x:c r="V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30"/>
      <x:c r="Q388" s="25"/>
      <x:c r="R388" s="25"/>
      <x:c r="S388" s="25"/>
      <x:c r="T388" s="25"/>
      <x:c r="U388" s="25"/>
      <x:c r="V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30"/>
      <x:c r="Q389" s="25"/>
      <x:c r="R389" s="25"/>
      <x:c r="S389" s="25"/>
      <x:c r="T389" s="25"/>
      <x:c r="U389" s="25"/>
      <x:c r="V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30"/>
      <x:c r="Q390" s="25"/>
      <x:c r="R390" s="25"/>
      <x:c r="S390" s="25"/>
      <x:c r="T390" s="25"/>
      <x:c r="U390" s="25"/>
      <x:c r="V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30"/>
      <x:c r="Q391" s="25"/>
      <x:c r="R391" s="25"/>
      <x:c r="S391" s="25"/>
      <x:c r="T391" s="25"/>
      <x:c r="U391" s="25"/>
      <x:c r="V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30"/>
      <x:c r="Q392" s="25"/>
      <x:c r="R392" s="25"/>
      <x:c r="S392" s="25"/>
      <x:c r="T392" s="25"/>
      <x:c r="U392" s="25"/>
      <x:c r="V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30"/>
      <x:c r="Q393" s="25"/>
      <x:c r="R393" s="25"/>
      <x:c r="S393" s="25"/>
      <x:c r="T393" s="25"/>
      <x:c r="U393" s="25"/>
      <x:c r="V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30"/>
      <x:c r="Q394" s="25"/>
      <x:c r="R394" s="25"/>
      <x:c r="S394" s="25"/>
      <x:c r="T394" s="25"/>
      <x:c r="U394" s="25"/>
      <x:c r="V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30"/>
      <x:c r="Q395" s="25"/>
      <x:c r="R395" s="25"/>
      <x:c r="S395" s="25"/>
      <x:c r="T395" s="25"/>
      <x:c r="U395" s="25"/>
      <x:c r="V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30"/>
      <x:c r="Q396" s="25"/>
      <x:c r="R396" s="25"/>
      <x:c r="S396" s="25"/>
      <x:c r="T396" s="25"/>
      <x:c r="U396" s="25"/>
      <x:c r="V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30"/>
      <x:c r="Q397" s="25"/>
      <x:c r="R397" s="25"/>
      <x:c r="S397" s="25"/>
      <x:c r="T397" s="25"/>
      <x:c r="U397" s="25"/>
      <x:c r="V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30"/>
      <x:c r="Q398" s="25"/>
      <x:c r="R398" s="25"/>
      <x:c r="S398" s="25"/>
      <x:c r="T398" s="25"/>
      <x:c r="U398" s="25"/>
      <x:c r="V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30"/>
      <x:c r="Q399" s="25"/>
      <x:c r="R399" s="25"/>
      <x:c r="S399" s="25"/>
      <x:c r="T399" s="25"/>
      <x:c r="U399" s="25"/>
      <x:c r="V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30"/>
      <x:c r="Q400" s="25"/>
      <x:c r="R400" s="25"/>
      <x:c r="S400" s="25"/>
      <x:c r="T400" s="25"/>
      <x:c r="U400" s="25"/>
      <x:c r="V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30"/>
      <x:c r="Q401" s="25"/>
      <x:c r="R401" s="25"/>
      <x:c r="S401" s="25"/>
      <x:c r="T401" s="25"/>
      <x:c r="U401" s="25"/>
      <x:c r="V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30"/>
      <x:c r="Q402" s="25"/>
      <x:c r="R402" s="25"/>
      <x:c r="S402" s="25"/>
      <x:c r="T402" s="25"/>
      <x:c r="U402" s="25"/>
      <x:c r="V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30"/>
      <x:c r="Q403" s="25"/>
      <x:c r="R403" s="25"/>
      <x:c r="S403" s="25"/>
      <x:c r="T403" s="25"/>
      <x:c r="U403" s="25"/>
      <x:c r="V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30"/>
      <x:c r="Q404" s="25"/>
      <x:c r="R404" s="25"/>
      <x:c r="S404" s="25"/>
      <x:c r="T404" s="25"/>
      <x:c r="U404" s="25"/>
      <x:c r="V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30"/>
      <x:c r="Q405" s="25"/>
      <x:c r="R405" s="25"/>
      <x:c r="S405" s="25"/>
      <x:c r="T405" s="25"/>
      <x:c r="U405" s="25"/>
      <x:c r="V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30"/>
      <x:c r="Q406" s="25"/>
      <x:c r="R406" s="25"/>
      <x:c r="S406" s="25"/>
      <x:c r="T406" s="25"/>
      <x:c r="U406" s="25"/>
      <x:c r="V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30"/>
      <x:c r="Q407" s="25"/>
      <x:c r="R407" s="25"/>
      <x:c r="S407" s="25"/>
      <x:c r="T407" s="25"/>
      <x:c r="U407" s="25"/>
      <x:c r="V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30"/>
      <x:c r="Q408" s="25"/>
      <x:c r="R408" s="25"/>
      <x:c r="S408" s="25"/>
      <x:c r="T408" s="25"/>
      <x:c r="U408" s="25"/>
      <x:c r="V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30"/>
      <x:c r="Q409" s="25"/>
      <x:c r="R409" s="25"/>
      <x:c r="S409" s="25"/>
      <x:c r="T409" s="25"/>
      <x:c r="U409" s="25"/>
      <x:c r="V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30"/>
      <x:c r="Q410" s="25"/>
      <x:c r="R410" s="25"/>
      <x:c r="S410" s="25"/>
      <x:c r="T410" s="25"/>
      <x:c r="U410" s="25"/>
      <x:c r="V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30"/>
      <x:c r="Q411" s="25"/>
      <x:c r="R411" s="25"/>
      <x:c r="S411" s="25"/>
      <x:c r="T411" s="25"/>
      <x:c r="U411" s="25"/>
      <x:c r="V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30"/>
      <x:c r="Q412" s="25"/>
      <x:c r="R412" s="25"/>
      <x:c r="S412" s="25"/>
      <x:c r="T412" s="25"/>
      <x:c r="U412" s="25"/>
      <x:c r="V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30"/>
      <x:c r="Q413" s="25"/>
      <x:c r="R413" s="25"/>
      <x:c r="S413" s="25"/>
      <x:c r="T413" s="25"/>
      <x:c r="U413" s="25"/>
      <x:c r="V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30"/>
      <x:c r="Q414" s="25"/>
      <x:c r="R414" s="25"/>
      <x:c r="S414" s="25"/>
      <x:c r="T414" s="25"/>
      <x:c r="U414" s="25"/>
      <x:c r="V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30"/>
      <x:c r="Q415" s="25"/>
      <x:c r="R415" s="25"/>
      <x:c r="S415" s="25"/>
      <x:c r="T415" s="25"/>
      <x:c r="U415" s="25"/>
      <x:c r="V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30"/>
      <x:c r="Q416" s="25"/>
      <x:c r="R416" s="25"/>
      <x:c r="S416" s="25"/>
      <x:c r="T416" s="25"/>
      <x:c r="U416" s="25"/>
      <x:c r="V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30"/>
      <x:c r="Q417" s="25"/>
      <x:c r="R417" s="25"/>
      <x:c r="S417" s="25"/>
      <x:c r="T417" s="25"/>
      <x:c r="U417" s="25"/>
      <x:c r="V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30"/>
      <x:c r="Q418" s="25"/>
      <x:c r="R418" s="25"/>
      <x:c r="S418" s="25"/>
      <x:c r="T418" s="25"/>
      <x:c r="U418" s="25"/>
      <x:c r="V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30"/>
      <x:c r="Q419" s="25"/>
      <x:c r="R419" s="25"/>
      <x:c r="S419" s="25"/>
      <x:c r="T419" s="25"/>
      <x:c r="U419" s="25"/>
      <x:c r="V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30"/>
      <x:c r="Q420" s="25"/>
      <x:c r="R420" s="25"/>
      <x:c r="S420" s="25"/>
      <x:c r="T420" s="25"/>
      <x:c r="U420" s="25"/>
      <x:c r="V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30"/>
      <x:c r="Q421" s="25"/>
      <x:c r="R421" s="25"/>
      <x:c r="S421" s="25"/>
      <x:c r="T421" s="25"/>
      <x:c r="U421" s="25"/>
      <x:c r="V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30"/>
      <x:c r="Q422" s="25"/>
      <x:c r="R422" s="25"/>
      <x:c r="S422" s="25"/>
      <x:c r="T422" s="25"/>
      <x:c r="U422" s="25"/>
      <x:c r="V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30"/>
      <x:c r="Q423" s="25"/>
      <x:c r="R423" s="25"/>
      <x:c r="S423" s="25"/>
      <x:c r="T423" s="25"/>
      <x:c r="U423" s="25"/>
      <x:c r="V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30"/>
      <x:c r="Q424" s="25"/>
      <x:c r="R424" s="25"/>
      <x:c r="S424" s="25"/>
      <x:c r="T424" s="25"/>
      <x:c r="U424" s="25"/>
      <x:c r="V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30"/>
      <x:c r="Q425" s="25"/>
      <x:c r="R425" s="25"/>
      <x:c r="S425" s="25"/>
      <x:c r="T425" s="25"/>
      <x:c r="U425" s="25"/>
      <x:c r="V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30"/>
      <x:c r="Q426" s="25"/>
      <x:c r="R426" s="25"/>
      <x:c r="S426" s="25"/>
      <x:c r="T426" s="25"/>
      <x:c r="U426" s="25"/>
      <x:c r="V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30"/>
      <x:c r="Q427" s="25"/>
      <x:c r="R427" s="25"/>
      <x:c r="S427" s="25"/>
      <x:c r="T427" s="25"/>
      <x:c r="U427" s="25"/>
      <x:c r="V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30"/>
      <x:c r="Q428" s="25"/>
      <x:c r="R428" s="25"/>
      <x:c r="S428" s="25"/>
      <x:c r="T428" s="25"/>
      <x:c r="U428" s="25"/>
      <x:c r="V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30"/>
      <x:c r="Q429" s="25"/>
      <x:c r="R429" s="25"/>
      <x:c r="S429" s="25"/>
      <x:c r="T429" s="25"/>
      <x:c r="U429" s="25"/>
      <x:c r="V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30"/>
      <x:c r="Q430" s="25"/>
      <x:c r="R430" s="25"/>
      <x:c r="S430" s="25"/>
      <x:c r="T430" s="25"/>
      <x:c r="U430" s="25"/>
      <x:c r="V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30"/>
      <x:c r="Q431" s="25"/>
      <x:c r="R431" s="25"/>
      <x:c r="S431" s="25"/>
      <x:c r="T431" s="25"/>
      <x:c r="U431" s="25"/>
      <x:c r="V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30"/>
      <x:c r="Q432" s="25"/>
      <x:c r="R432" s="25"/>
      <x:c r="S432" s="25"/>
      <x:c r="T432" s="25"/>
      <x:c r="U432" s="25"/>
      <x:c r="V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30"/>
      <x:c r="Q433" s="25"/>
      <x:c r="R433" s="25"/>
      <x:c r="S433" s="25"/>
      <x:c r="T433" s="25"/>
      <x:c r="U433" s="25"/>
      <x:c r="V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30"/>
      <x:c r="Q434" s="25"/>
      <x:c r="R434" s="25"/>
      <x:c r="S434" s="25"/>
      <x:c r="T434" s="25"/>
      <x:c r="U434" s="25"/>
      <x:c r="V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30"/>
      <x:c r="Q435" s="25"/>
      <x:c r="R435" s="25"/>
      <x:c r="S435" s="25"/>
      <x:c r="T435" s="25"/>
      <x:c r="U435" s="25"/>
      <x:c r="V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30"/>
      <x:c r="Q436" s="25"/>
      <x:c r="R436" s="25"/>
      <x:c r="S436" s="25"/>
      <x:c r="T436" s="25"/>
      <x:c r="U436" s="25"/>
      <x:c r="V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30"/>
      <x:c r="Q437" s="25"/>
      <x:c r="R437" s="25"/>
      <x:c r="S437" s="25"/>
      <x:c r="T437" s="25"/>
      <x:c r="U437" s="25"/>
      <x:c r="V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30"/>
      <x:c r="Q438" s="25"/>
      <x:c r="R438" s="25"/>
      <x:c r="S438" s="25"/>
      <x:c r="T438" s="25"/>
      <x:c r="U438" s="25"/>
      <x:c r="V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30"/>
      <x:c r="Q439" s="25"/>
      <x:c r="R439" s="25"/>
      <x:c r="S439" s="25"/>
      <x:c r="T439" s="25"/>
      <x:c r="U439" s="25"/>
      <x:c r="V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30"/>
      <x:c r="Q440" s="25"/>
      <x:c r="R440" s="25"/>
      <x:c r="S440" s="25"/>
      <x:c r="T440" s="25"/>
      <x:c r="U440" s="25"/>
      <x:c r="V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30"/>
      <x:c r="Q441" s="25"/>
      <x:c r="R441" s="25"/>
      <x:c r="S441" s="25"/>
      <x:c r="T441" s="25"/>
      <x:c r="U441" s="25"/>
      <x:c r="V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30"/>
      <x:c r="Q442" s="25"/>
      <x:c r="R442" s="25"/>
      <x:c r="S442" s="25"/>
      <x:c r="T442" s="25"/>
      <x:c r="U442" s="25"/>
      <x:c r="V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30"/>
      <x:c r="Q443" s="25"/>
      <x:c r="R443" s="25"/>
      <x:c r="S443" s="25"/>
      <x:c r="T443" s="25"/>
      <x:c r="U443" s="25"/>
      <x:c r="V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30"/>
      <x:c r="Q444" s="25"/>
      <x:c r="R444" s="25"/>
      <x:c r="S444" s="25"/>
      <x:c r="T444" s="25"/>
      <x:c r="U444" s="25"/>
      <x:c r="V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30"/>
      <x:c r="Q445" s="25"/>
      <x:c r="R445" s="25"/>
      <x:c r="S445" s="25"/>
      <x:c r="T445" s="25"/>
      <x:c r="U445" s="25"/>
      <x:c r="V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30"/>
      <x:c r="Q446" s="25"/>
      <x:c r="R446" s="25"/>
      <x:c r="S446" s="25"/>
      <x:c r="T446" s="25"/>
      <x:c r="U446" s="25"/>
      <x:c r="V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30"/>
      <x:c r="Q447" s="25"/>
      <x:c r="R447" s="25"/>
      <x:c r="S447" s="25"/>
      <x:c r="T447" s="25"/>
      <x:c r="U447" s="25"/>
      <x:c r="V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30"/>
      <x:c r="Q448" s="25"/>
      <x:c r="R448" s="25"/>
      <x:c r="S448" s="25"/>
      <x:c r="T448" s="25"/>
      <x:c r="U448" s="25"/>
      <x:c r="V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30"/>
      <x:c r="Q449" s="25"/>
      <x:c r="R449" s="25"/>
      <x:c r="S449" s="25"/>
      <x:c r="T449" s="25"/>
      <x:c r="U449" s="25"/>
      <x:c r="V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30"/>
      <x:c r="Q450" s="25"/>
      <x:c r="R450" s="25"/>
      <x:c r="S450" s="25"/>
      <x:c r="T450" s="25"/>
      <x:c r="U450" s="25"/>
      <x:c r="V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30"/>
      <x:c r="Q451" s="25"/>
      <x:c r="R451" s="25"/>
      <x:c r="S451" s="25"/>
      <x:c r="T451" s="25"/>
      <x:c r="U451" s="25"/>
      <x:c r="V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30"/>
      <x:c r="Q452" s="25"/>
      <x:c r="R452" s="25"/>
      <x:c r="S452" s="25"/>
      <x:c r="T452" s="25"/>
      <x:c r="U452" s="25"/>
      <x:c r="V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30"/>
      <x:c r="Q453" s="25"/>
      <x:c r="R453" s="25"/>
      <x:c r="S453" s="25"/>
      <x:c r="T453" s="25"/>
      <x:c r="U453" s="25"/>
      <x:c r="V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30"/>
      <x:c r="Q454" s="25"/>
      <x:c r="R454" s="25"/>
      <x:c r="S454" s="25"/>
      <x:c r="T454" s="25"/>
      <x:c r="U454" s="25"/>
      <x:c r="V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30"/>
      <x:c r="Q455" s="25"/>
      <x:c r="R455" s="25"/>
      <x:c r="S455" s="25"/>
      <x:c r="T455" s="25"/>
      <x:c r="U455" s="25"/>
      <x:c r="V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30"/>
      <x:c r="Q456" s="25"/>
      <x:c r="R456" s="25"/>
      <x:c r="S456" s="25"/>
      <x:c r="T456" s="25"/>
      <x:c r="U456" s="25"/>
      <x:c r="V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30"/>
      <x:c r="Q457" s="25"/>
      <x:c r="R457" s="25"/>
      <x:c r="S457" s="25"/>
      <x:c r="T457" s="25"/>
      <x:c r="U457" s="25"/>
      <x:c r="V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30"/>
      <x:c r="Q458" s="25"/>
      <x:c r="R458" s="25"/>
      <x:c r="S458" s="25"/>
      <x:c r="T458" s="25"/>
      <x:c r="U458" s="25"/>
      <x:c r="V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30"/>
      <x:c r="Q459" s="25"/>
      <x:c r="R459" s="25"/>
      <x:c r="S459" s="25"/>
      <x:c r="T459" s="25"/>
      <x:c r="U459" s="25"/>
      <x:c r="V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30"/>
      <x:c r="Q460" s="25"/>
      <x:c r="R460" s="25"/>
      <x:c r="S460" s="25"/>
      <x:c r="T460" s="25"/>
      <x:c r="U460" s="25"/>
      <x:c r="V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30"/>
      <x:c r="Q461" s="25"/>
      <x:c r="R461" s="25"/>
      <x:c r="S461" s="25"/>
      <x:c r="T461" s="25"/>
      <x:c r="U461" s="25"/>
      <x:c r="V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30"/>
      <x:c r="Q462" s="25"/>
      <x:c r="R462" s="25"/>
      <x:c r="S462" s="25"/>
      <x:c r="T462" s="25"/>
      <x:c r="U462" s="25"/>
      <x:c r="V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30"/>
      <x:c r="Q463" s="25"/>
      <x:c r="R463" s="25"/>
      <x:c r="S463" s="25"/>
      <x:c r="T463" s="25"/>
      <x:c r="U463" s="25"/>
      <x:c r="V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30"/>
      <x:c r="Q464" s="25"/>
      <x:c r="R464" s="25"/>
      <x:c r="S464" s="25"/>
      <x:c r="T464" s="25"/>
      <x:c r="U464" s="25"/>
      <x:c r="V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30"/>
      <x:c r="Q465" s="25"/>
      <x:c r="R465" s="25"/>
      <x:c r="S465" s="25"/>
      <x:c r="T465" s="25"/>
      <x:c r="U465" s="25"/>
      <x:c r="V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30"/>
      <x:c r="Q466" s="25"/>
      <x:c r="R466" s="25"/>
      <x:c r="S466" s="25"/>
      <x:c r="T466" s="25"/>
      <x:c r="U466" s="25"/>
      <x:c r="V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30"/>
      <x:c r="Q467" s="25"/>
      <x:c r="R467" s="25"/>
      <x:c r="S467" s="25"/>
      <x:c r="T467" s="25"/>
      <x:c r="U467" s="25"/>
      <x:c r="V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30"/>
      <x:c r="Q468" s="25"/>
      <x:c r="R468" s="25"/>
      <x:c r="S468" s="25"/>
      <x:c r="T468" s="25"/>
      <x:c r="U468" s="25"/>
      <x:c r="V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30"/>
      <x:c r="Q469" s="25"/>
      <x:c r="R469" s="25"/>
      <x:c r="S469" s="25"/>
      <x:c r="T469" s="25"/>
      <x:c r="U469" s="25"/>
      <x:c r="V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30"/>
      <x:c r="Q470" s="25"/>
      <x:c r="R470" s="25"/>
      <x:c r="S470" s="25"/>
      <x:c r="T470" s="25"/>
      <x:c r="U470" s="25"/>
      <x:c r="V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30"/>
      <x:c r="Q471" s="25"/>
      <x:c r="R471" s="25"/>
      <x:c r="S471" s="25"/>
      <x:c r="T471" s="25"/>
      <x:c r="U471" s="25"/>
      <x:c r="V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30"/>
      <x:c r="Q472" s="25"/>
      <x:c r="R472" s="25"/>
      <x:c r="S472" s="25"/>
      <x:c r="T472" s="25"/>
      <x:c r="U472" s="25"/>
      <x:c r="V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30"/>
      <x:c r="Q473" s="25"/>
      <x:c r="R473" s="25"/>
      <x:c r="S473" s="25"/>
      <x:c r="T473" s="25"/>
      <x:c r="U473" s="25"/>
      <x:c r="V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30"/>
      <x:c r="Q474" s="25"/>
      <x:c r="R474" s="25"/>
      <x:c r="S474" s="25"/>
      <x:c r="T474" s="25"/>
      <x:c r="U474" s="25"/>
      <x:c r="V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30"/>
      <x:c r="Q475" s="25"/>
      <x:c r="R475" s="25"/>
      <x:c r="S475" s="25"/>
      <x:c r="T475" s="25"/>
      <x:c r="U475" s="25"/>
      <x:c r="V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30"/>
      <x:c r="Q476" s="25"/>
      <x:c r="R476" s="25"/>
      <x:c r="S476" s="25"/>
      <x:c r="T476" s="25"/>
      <x:c r="U476" s="25"/>
      <x:c r="V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30"/>
      <x:c r="Q477" s="25"/>
      <x:c r="R477" s="25"/>
      <x:c r="S477" s="25"/>
      <x:c r="T477" s="25"/>
      <x:c r="U477" s="25"/>
      <x:c r="V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30"/>
      <x:c r="Q478" s="25"/>
      <x:c r="R478" s="25"/>
      <x:c r="S478" s="25"/>
      <x:c r="T478" s="25"/>
      <x:c r="U478" s="25"/>
      <x:c r="V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30"/>
      <x:c r="Q479" s="25"/>
      <x:c r="R479" s="25"/>
      <x:c r="S479" s="25"/>
      <x:c r="T479" s="25"/>
      <x:c r="U479" s="25"/>
      <x:c r="V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30"/>
      <x:c r="Q480" s="25"/>
      <x:c r="R480" s="25"/>
      <x:c r="S480" s="25"/>
      <x:c r="T480" s="25"/>
      <x:c r="U480" s="25"/>
      <x:c r="V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30"/>
      <x:c r="Q481" s="25"/>
      <x:c r="R481" s="25"/>
      <x:c r="S481" s="25"/>
      <x:c r="T481" s="25"/>
      <x:c r="U481" s="25"/>
      <x:c r="V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30"/>
      <x:c r="Q482" s="25"/>
      <x:c r="R482" s="25"/>
      <x:c r="S482" s="25"/>
      <x:c r="T482" s="25"/>
      <x:c r="U482" s="25"/>
      <x:c r="V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30"/>
      <x:c r="Q483" s="25"/>
      <x:c r="R483" s="25"/>
      <x:c r="S483" s="25"/>
      <x:c r="T483" s="25"/>
      <x:c r="U483" s="25"/>
      <x:c r="V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30"/>
      <x:c r="Q484" s="25"/>
      <x:c r="R484" s="25"/>
      <x:c r="S484" s="25"/>
      <x:c r="T484" s="25"/>
      <x:c r="U484" s="25"/>
      <x:c r="V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30"/>
      <x:c r="Q485" s="25"/>
      <x:c r="R485" s="25"/>
      <x:c r="S485" s="25"/>
      <x:c r="T485" s="25"/>
      <x:c r="U485" s="25"/>
      <x:c r="V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30"/>
      <x:c r="Q486" s="25"/>
      <x:c r="R486" s="25"/>
      <x:c r="S486" s="25"/>
      <x:c r="T486" s="25"/>
      <x:c r="U486" s="25"/>
      <x:c r="V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30"/>
      <x:c r="Q487" s="25"/>
      <x:c r="R487" s="25"/>
      <x:c r="S487" s="25"/>
      <x:c r="T487" s="25"/>
      <x:c r="U487" s="25"/>
      <x:c r="V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30"/>
      <x:c r="Q488" s="25"/>
      <x:c r="R488" s="25"/>
      <x:c r="S488" s="25"/>
      <x:c r="T488" s="25"/>
      <x:c r="U488" s="25"/>
      <x:c r="V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30"/>
      <x:c r="Q489" s="25"/>
      <x:c r="R489" s="25"/>
      <x:c r="S489" s="25"/>
      <x:c r="T489" s="25"/>
      <x:c r="U489" s="25"/>
      <x:c r="V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30"/>
      <x:c r="Q490" s="25"/>
      <x:c r="R490" s="25"/>
      <x:c r="S490" s="25"/>
      <x:c r="T490" s="25"/>
      <x:c r="U490" s="25"/>
      <x:c r="V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30"/>
      <x:c r="Q491" s="25"/>
      <x:c r="R491" s="25"/>
      <x:c r="S491" s="25"/>
      <x:c r="T491" s="25"/>
      <x:c r="U491" s="25"/>
      <x:c r="V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30"/>
      <x:c r="Q492" s="25"/>
      <x:c r="R492" s="25"/>
      <x:c r="S492" s="25"/>
      <x:c r="T492" s="25"/>
      <x:c r="U492" s="25"/>
      <x:c r="V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30"/>
      <x:c r="Q493" s="25"/>
      <x:c r="R493" s="25"/>
      <x:c r="S493" s="25"/>
      <x:c r="T493" s="25"/>
      <x:c r="U493" s="25"/>
      <x:c r="V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30"/>
      <x:c r="Q494" s="25"/>
      <x:c r="R494" s="25"/>
      <x:c r="S494" s="25"/>
      <x:c r="T494" s="25"/>
      <x:c r="U494" s="25"/>
      <x:c r="V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30"/>
      <x:c r="Q495" s="25"/>
      <x:c r="R495" s="25"/>
      <x:c r="S495" s="25"/>
      <x:c r="T495" s="25"/>
      <x:c r="U495" s="25"/>
      <x:c r="V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30"/>
      <x:c r="Q496" s="25"/>
      <x:c r="R496" s="25"/>
      <x:c r="S496" s="25"/>
      <x:c r="T496" s="25"/>
      <x:c r="U496" s="25"/>
      <x:c r="V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30"/>
      <x:c r="Q497" s="25"/>
      <x:c r="R497" s="25"/>
      <x:c r="S497" s="25"/>
      <x:c r="T497" s="25"/>
      <x:c r="U497" s="25"/>
      <x:c r="V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30"/>
      <x:c r="Q498" s="25"/>
      <x:c r="R498" s="25"/>
      <x:c r="S498" s="25"/>
      <x:c r="T498" s="25"/>
      <x:c r="U498" s="25"/>
      <x:c r="V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30"/>
      <x:c r="Q499" s="25"/>
      <x:c r="R499" s="25"/>
      <x:c r="S499" s="25"/>
      <x:c r="T499" s="25"/>
      <x:c r="U499" s="25"/>
      <x:c r="V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30"/>
      <x:c r="Q500" s="25"/>
      <x:c r="R500" s="25"/>
      <x:c r="S500" s="25"/>
      <x:c r="T500" s="25"/>
      <x:c r="U500" s="25"/>
      <x:c r="V500" s="25"/>
    </x:row>
  </x:sheetData>
  <x:dataValidations count="4">
    <x:dataValidation type="list" sqref="I2:I500">
      <x:formula1>"Yes,No"</x:formula1>
    </x:dataValidation>
    <x:dataValidation type="list" sqref="J2:O500">
      <x:formula1>"Yes,No"</x:formula1>
    </x:dataValidation>
    <x:dataValidation type="list" sqref="T2:T500">
      <x:formula1>"Yes,No"</x:formula1>
    </x:dataValidation>
    <x:dataValidation type="list" sqref="U2:U500">
      <x:formula1>"PASS,NEEDS_REVIEW,FAILED,QUARANTINED"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24" t="str">
        <x:v>M2.5–M5 Acceptance Gates</x:v>
      </x:c>
      <x:c r="B1" s="24"/>
      <x:c r="C1" s="24"/>
      <x:c r="D1" s="24"/>
      <x:c r="E1" s="24"/>
    </x:row>
    <x:row r="2">
      <x:c r="A2" s="25"/>
      <x:c r="B2" s="25"/>
      <x:c r="C2" s="25"/>
      <x:c r="D2" s="25"/>
      <x:c r="E2" s="25"/>
    </x:row>
    <x:row r="3">
      <x:c r="A3" s="18" t="str">
        <x:v>Milestone</x:v>
      </x:c>
      <x:c r="B3" s="18" t="str">
        <x:v>Gate</x:v>
      </x:c>
      <x:c r="C3" s="18" t="str">
        <x:v>Target</x:v>
      </x:c>
      <x:c r="D3" s="18" t="str">
        <x:v>Observed</x:v>
      </x:c>
      <x:c r="E3" s="18" t="str">
        <x:v>Status</x:v>
      </x:c>
    </x:row>
    <x:row r="4">
      <x:c r="A4" s="25" t="str">
        <x:v>M2.5</x:v>
      </x:c>
      <x:c r="B4" s="25" t="str">
        <x:v>M2 provider contract remains unchanged</x:v>
      </x:c>
      <x:c r="C4" s="25" t="str">
        <x:v>Pass</x:v>
      </x:c>
      <x:c r="D4" s="25" t="str"/>
      <x:c r="E4" s="25" t="str">
        <x:v>OPEN</x:v>
      </x:c>
    </x:row>
    <x:row r="5">
      <x:c r="A5" s="25" t="str">
        <x:v>M2.5</x:v>
      </x:c>
      <x:c r="B5" s="25" t="str">
        <x:v>Synthetic fixtures execute reproducibly</x:v>
      </x:c>
      <x:c r="C5" s="25" t="str">
        <x:v>29</x:v>
      </x:c>
      <x:c r="D5" s="25" t="str"/>
      <x:c r="E5" s="25" t="str">
        <x:v>OPEN</x:v>
      </x:c>
    </x:row>
    <x:row r="6">
      <x:c r="A6" s="25" t="str">
        <x:v>M2.5</x:v>
      </x:c>
      <x:c r="B6" s="25" t="str">
        <x:v>Ground-truth fixtures scored</x:v>
      </x:c>
      <x:c r="C6" s="25" t="str">
        <x:v>25</x:v>
      </x:c>
      <x:c r="D6" s="25" t="str"/>
      <x:c r="E6" s="25" t="str">
        <x:v>OPEN</x:v>
      </x:c>
    </x:row>
    <x:row r="7">
      <x:c r="A7" s="25" t="str">
        <x:v>M2.5</x:v>
      </x:c>
      <x:c r="B7" s="25" t="str">
        <x:v>Digital PDF and scan/image paths</x:v>
      </x:c>
      <x:c r="C7" s="25" t="str">
        <x:v>Pass</x:v>
      </x:c>
      <x:c r="D7" s="25" t="str"/>
      <x:c r="E7" s="25" t="str">
        <x:v>OPEN</x:v>
      </x:c>
    </x:row>
    <x:row r="8">
      <x:c r="A8" s="25" t="str">
        <x:v>M2.5</x:v>
      </x:c>
      <x:c r="B8" s="25" t="str">
        <x:v>Provenance, latency, p95, memory, failure metrics</x:v>
      </x:c>
      <x:c r="C8" s="25" t="str">
        <x:v>Recorded</x:v>
      </x:c>
      <x:c r="D8" s="25" t="str"/>
      <x:c r="E8" s="25" t="str">
        <x:v>OPEN</x:v>
      </x:c>
    </x:row>
    <x:row r="9">
      <x:c r="A9" s="25" t="str">
        <x:v>M2.5</x:v>
      </x:c>
      <x:c r="B9" s="25" t="str">
        <x:v>Feature-flag rollback to prior M2 provider</x:v>
      </x:c>
      <x:c r="C9" s="25" t="str">
        <x:v>Pass</x:v>
      </x:c>
      <x:c r="D9" s="25" t="str"/>
      <x:c r="E9" s="25" t="str">
        <x:v>OPEN</x:v>
      </x:c>
    </x:row>
    <x:row r="10">
      <x:c r="A10" s="25" t="str">
        <x:v>M3</x:v>
      </x:c>
      <x:c r="B10" s="25" t="str">
        <x:v>50-document batch completed end to end</x:v>
      </x:c>
      <x:c r="C10" s="25" t="str">
        <x:v>Yes</x:v>
      </x:c>
      <x:c r="D10" s="25" t="str"/>
      <x:c r="E10" s="25" t="str">
        <x:v>OPEN</x:v>
      </x:c>
    </x:row>
    <x:row r="11">
      <x:c r="A11" s="25" t="str">
        <x:v>M3</x:v>
      </x:c>
      <x:c r="B11" s="25" t="str">
        <x:v>Unresolved critical/high finding auto-accepted</x:v>
      </x:c>
      <x:c r="C11" s="25" t="str">
        <x:v>0</x:v>
      </x:c>
      <x:c r="D11" s="25" t="str"/>
      <x:c r="E11" s="25" t="str">
        <x:v>OPEN</x:v>
      </x:c>
    </x:row>
    <x:row r="12">
      <x:c r="A12" s="25" t="str">
        <x:v>M3</x:v>
      </x:c>
      <x:c r="B12" s="25" t="str">
        <x:v>Edited high-risk fields with evidence/confirmation</x:v>
      </x:c>
      <x:c r="C12" s="25" t="str">
        <x:v>100%</x:v>
      </x:c>
      <x:c r="D12" s="25" t="str"/>
      <x:c r="E12" s="25" t="str">
        <x:v>OPEN</x:v>
      </x:c>
    </x:row>
    <x:row r="13">
      <x:c r="A13" s="25" t="str">
        <x:v>M4</x:v>
      </x:c>
      <x:c r="B13" s="25" t="str">
        <x:v>Tenant isolation tests</x:v>
      </x:c>
      <x:c r="C13" s="25" t="str">
        <x:v>Pass</x:v>
      </x:c>
      <x:c r="D13" s="25" t="str"/>
      <x:c r="E13" s="25" t="str">
        <x:v>OPEN</x:v>
      </x:c>
    </x:row>
    <x:row r="14">
      <x:c r="A14" s="25" t="str">
        <x:v>M4</x:v>
      </x:c>
      <x:c r="B14" s="25" t="str">
        <x:v>Deletion verifier failures</x:v>
      </x:c>
      <x:c r="C14" s="25" t="str">
        <x:v>0</x:v>
      </x:c>
      <x:c r="D14" s="25" t="str"/>
      <x:c r="E14" s="25" t="str">
        <x:v>OPEN</x:v>
      </x:c>
    </x:row>
    <x:row r="15">
      <x:c r="A15" s="25" t="str">
        <x:v>M4</x:v>
      </x:c>
      <x:c r="B15" s="25" t="str">
        <x:v>Restore drill</x:v>
      </x:c>
      <x:c r="C15" s="25" t="str">
        <x:v>Pass</x:v>
      </x:c>
      <x:c r="D15" s="25" t="str"/>
      <x:c r="E15" s="25" t="str">
        <x:v>OPEN</x:v>
      </x:c>
    </x:row>
    <x:row r="16">
      <x:c r="A16" s="25" t="str">
        <x:v>M5</x:v>
      </x:c>
      <x:c r="B16" s="25" t="str">
        <x:v>Operator time saving</x:v>
      </x:c>
      <x:c r="C16" s="25" t="str">
        <x:v>&gt;=50%</x:v>
      </x:c>
      <x:c r="D16" s="25" t="str"/>
      <x:c r="E16" s="25" t="str">
        <x:v>OPEN</x:v>
      </x:c>
    </x:row>
    <x:row r="17">
      <x:c r="A17" s="25" t="str">
        <x:v>M5</x:v>
      </x:c>
      <x:c r="B17" s="25" t="str">
        <x:v>Unattended high-risk precision</x:v>
      </x:c>
      <x:c r="C17" s="25" t="str">
        <x:v>&gt;=99.5%</x:v>
      </x:c>
      <x:c r="D17" s="25" t="str"/>
      <x:c r="E17" s="25" t="str">
        <x:v>OPEN</x:v>
      </x:c>
    </x:row>
    <x:row r="18">
      <x:c r="A18" s="25" t="str">
        <x:v>M5</x:v>
      </x:c>
      <x:c r="B18" s="25" t="str">
        <x:v>Escaped critical monetary errors</x:v>
      </x:c>
      <x:c r="C18" s="25" t="str">
        <x:v>0</x:v>
      </x:c>
      <x:c r="D18" s="25" t="str"/>
      <x:c r="E18" s="25" t="str">
        <x:v>OPEN</x:v>
      </x:c>
    </x:row>
    <x:row r="19">
      <x:c r="A19" s="25" t="str">
        <x:v>M5</x:v>
      </x:c>
      <x:c r="B19" s="25" t="str">
        <x:v>Pilot requests continued use</x:v>
      </x:c>
      <x:c r="C19" s="25" t="str">
        <x:v>&gt;=1</x:v>
      </x:c>
      <x:c r="D19" s="25" t="str"/>
      <x:c r="E19" s="25" t="str">
        <x:v>OPEN</x:v>
      </x:c>
    </x:row>
    <x:row r="20">
      <x:c r="A20" s="25"/>
      <x:c r="B20" s="25"/>
      <x:c r="C20" s="25"/>
      <x:c r="D20" s="25"/>
      <x:c r="E20" s="25"/>
    </x:row>
    <x:row r="21">
      <x:c r="A21" s="25"/>
      <x:c r="B21" s="25"/>
      <x:c r="C21" s="25"/>
      <x:c r="D21" s="25"/>
      <x:c r="E21" s="25"/>
    </x:row>
    <x:row r="22">
      <x:c r="A22" s="25"/>
      <x:c r="B22" s="25"/>
      <x:c r="C22" s="25"/>
      <x:c r="D22" s="25"/>
      <x:c r="E22" s="25"/>
    </x:row>
    <x:row r="23">
      <x:c r="A23" s="25"/>
      <x:c r="B23" s="25"/>
      <x:c r="C23" s="25"/>
      <x:c r="D23" s="25"/>
      <x:c r="E23" s="25"/>
    </x:row>
    <x:row r="24">
      <x:c r="A24" s="25"/>
      <x:c r="B24" s="25"/>
      <x:c r="C24" s="25"/>
      <x:c r="D24" s="25"/>
      <x:c r="E24" s="25"/>
    </x:row>
    <x:row r="25">
      <x:c r="A25" s="25"/>
      <x:c r="B25" s="25"/>
      <x:c r="C25" s="25"/>
      <x:c r="D25" s="25"/>
      <x:c r="E25" s="25"/>
    </x:row>
  </x:sheetData>
  <x:mergeCells>
    <x:mergeCell ref="A1:E1"/>
  </x:mergeCells>
  <x:conditionalFormatting sqref="E4:E19">
    <x:cfRule type="expression" dxfId="8" priority="1">
      <x:formula>E4="PASS"</x:formula>
    </x:cfRule>
    <x:cfRule type="expression" dxfId="9" priority="2">
      <x:formula>E4="FAIL"</x:formula>
    </x:cfRule>
  </x:conditionalFormatting>
  <x:dataValidations count="1">
    <x:dataValidation type="list" sqref="E4:E19">
      <x:formula1>"OPEN,PASS,FAIL"</x:formula1>
    </x:dataValidation>
  </x:dataValidations>
  <x:pageMargins left="0.7" right="0.7" top="0.75" bottom="0.75" header="0.3" footer="0.3"/>
</x:worksheet>
</file>