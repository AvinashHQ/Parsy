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731a435fc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d24b53eeefa74f35"/>
    <x:sheet xmlns:r="http://schemas.openxmlformats.org/officeDocument/2006/relationships" name="Candidates" sheetId="2" r:id="R38235e9ce23c4f5f"/>
    <x:sheet xmlns:r="http://schemas.openxmlformats.org/officeDocument/2006/relationships" name="Interviews" sheetId="3" r:id="Rd590b71431574dbb"/>
    <x:sheet xmlns:r="http://schemas.openxmlformats.org/officeDocument/2006/relationships" name="Observations" sheetId="4" r:id="Rb8cdc1279d6a492a"/>
    <x:sheet xmlns:r="http://schemas.openxmlformats.org/officeDocument/2006/relationships" name="Stage Timing" sheetId="5" r:id="Ra77bff93fea24dd5"/>
    <x:sheet xmlns:r="http://schemas.openxmlformats.org/officeDocument/2006/relationships" name="Errors" sheetId="6" r:id="R2a9435ae1a6942e0"/>
    <x:sheet xmlns:r="http://schemas.openxmlformats.org/officeDocument/2006/relationships" name="Interview Baseline" sheetId="7" r:id="R79e813fdb7544722"/>
    <x:sheet xmlns:r="http://schemas.openxmlformats.org/officeDocument/2006/relationships" name="Hypotheses &amp; Decisions" sheetId="8" r:id="R98cf5020b8ce4156"/>
    <x:sheet xmlns:r="http://schemas.openxmlformats.org/officeDocument/2006/relationships" name="Dashboard" sheetId="9" r:id="R70ba7ac68ac4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47556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856A8"/>
      </x:patternFill>
    </x:fill>
    <x:fill>
      <x:patternFill patternType="solid">
        <x:fgColor rgb="FF17324D"/>
      </x:patternFill>
    </x:fill>
    <x:fill>
      <x:patternFill patternType="solid">
        <x:fgColor rgb="FFF5F7FA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532f00c274260" /><Relationship Type="http://schemas.openxmlformats.org/officeDocument/2006/relationships/theme" Target="/xl/theme/theme1.xml" Id="Rd27131573d174555" /><Relationship Type="http://schemas.openxmlformats.org/officeDocument/2006/relationships/sharedStrings" Target="/xl/sharedStrings.xml" Id="R3c4a2dfffb3f4514" /><Relationship Type="http://schemas.openxmlformats.org/officeDocument/2006/relationships/worksheet" Target="/xl/worksheets/sheet1.xml" Id="Rd24b53eeefa74f35" /><Relationship Type="http://schemas.openxmlformats.org/officeDocument/2006/relationships/worksheet" Target="/xl/worksheets/sheet2.xml" Id="R38235e9ce23c4f5f" /><Relationship Type="http://schemas.openxmlformats.org/officeDocument/2006/relationships/worksheet" Target="/xl/worksheets/sheet3.xml" Id="Rd590b71431574dbb" /><Relationship Type="http://schemas.openxmlformats.org/officeDocument/2006/relationships/worksheet" Target="/xl/worksheets/sheet4.xml" Id="Rb8cdc1279d6a492a" /><Relationship Type="http://schemas.openxmlformats.org/officeDocument/2006/relationships/worksheet" Target="/xl/worksheets/sheet5.xml" Id="Ra77bff93fea24dd5" /><Relationship Type="http://schemas.openxmlformats.org/officeDocument/2006/relationships/worksheet" Target="/xl/worksheets/sheet6.xml" Id="R2a9435ae1a6942e0" /><Relationship Type="http://schemas.openxmlformats.org/officeDocument/2006/relationships/worksheet" Target="/xl/worksheets/sheet7.xml" Id="R79e813fdb7544722" /><Relationship Type="http://schemas.openxmlformats.org/officeDocument/2006/relationships/worksheet" Target="/xl/worksheets/sheet8.xml" Id="R98cf5020b8ce4156" /><Relationship Type="http://schemas.openxmlformats.org/officeDocument/2006/relationships/worksheet" Target="/xl/worksheets/sheet9.xml" Id="R70ba7ac68ac442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fb853a161d49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Active Minutes by Workflow Stage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Active Minutes</c:v>
          </c:tx>
          <c:cat>
            <c:strRef>
              <c:f>'Dashboard'!$D$17:$D$32</c:f>
              <c:strCache>
                <c:ptCount val="0"/>
              </c:strCache>
            </c:strRef>
          </c:cat>
          <c:val>
            <c:numRef>
              <c:f>'Dashboard'!$E$17:$E$32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fb853a161d49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didatesTable" displayName="CandidatesTable" ref="A1:N21" headerRowCount="1">
  <x:tableColumns count="14">
    <x:tableColumn id="1" name="Candidate ID"/>
    <x:tableColumn id="2" name="Organization ID"/>
    <x:tableColumn id="3" name="Role"/>
    <x:tableColumn id="4" name="Direct Operator?"/>
    <x:tableColumn id="5" name="Monthly Volume"/>
    <x:tableColumn id="6" name="Multi-country/Currency?"/>
    <x:tableColumn id="7" name="Line Items?"/>
    <x:tableColumn id="8" name="Downstream System"/>
    <x:tableColumn id="9" name="Priority"/>
    <x:tableColumn id="10" name="Status"/>
    <x:tableColumn id="11" name="First Contact"/>
    <x:tableColumn id="12" name="Interview Date"/>
    <x:tableColumn id="13" name="Referral Source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nterviewsTable" displayName="InterviewsTable" ref="A1:U11" headerRowCount="1">
  <x:tableColumns count="21">
    <x:tableColumn id="1" name="Interview ID"/>
    <x:tableColumn id="2" name="Candidate ID"/>
    <x:tableColumn id="3" name="Organization ID"/>
    <x:tableColumn id="4" name="Interview Date"/>
    <x:tableColumn id="5" name="Role"/>
    <x:tableColumn id="6" name="Interview Type"/>
    <x:tableColumn id="7" name="Completed?"/>
    <x:tableColumn id="8" name="Recording Consent"/>
    <x:tableColumn id="9" name="Source Document Status"/>
    <x:tableColumn id="10" name="Monthly Volume"/>
    <x:tableColumn id="11" name="Countries Count"/>
    <x:tableColumn id="12" name="Currencies Count"/>
    <x:tableColumn id="13" name="Languages/Scripts"/>
    <x:tableColumn id="14" name="Downstream System"/>
    <x:tableColumn id="15" name="Reviewed Export Useful?"/>
    <x:tableColumn id="16" name="Pilot Willingness"/>
    <x:tableColumn id="17" name="Permissioned Docs Later?"/>
    <x:tableColumn id="18" name="Willingness-to-Pay Signal"/>
    <x:tableColumn id="19" name="Privacy Constraints"/>
    <x:tableColumn id="20" name="Notes File/Link"/>
    <x:tableColumn id="21" name="Unique Completed Org Flag"/>
  </x:tableColumns>
  <x:tableStyleInfo name="TableStyleMedium2" showRowStripes="1"/>
</x:table>
</file>

<file path=xl/tables/table3.xml><?xml version="1.0" encoding="utf-8"?>
<x:table xmlns:x="http://schemas.openxmlformats.org/spreadsheetml/2006/main" id="3" name="ObservationsTable" displayName="ObservationsTable" ref="A1:T21" headerRowCount="1">
  <x:tableColumns count="20">
    <x:tableColumn id="1" name="Observation ID"/>
    <x:tableColumn id="2" name="Interview ID"/>
    <x:tableColumn id="3" name="Observation Date"/>
    <x:tableColumn id="4" name="Measurement Method"/>
    <x:tableColumn id="5" name="Workflow Scope"/>
    <x:tableColumn id="6" name="Documents"/>
    <x:tableColumn id="7" name="Pages"/>
    <x:tableColumn id="8" name="Header/Line Items"/>
    <x:tableColumn id="9" name="Source Types"/>
    <x:tableColumn id="10" name="Countries"/>
    <x:tableColumn id="11" name="Currencies"/>
    <x:tableColumn id="12" name="Active Seconds"/>
    <x:tableColumn id="13" name="System Wait Seconds"/>
    <x:tableColumn id="14" name="Rework Seconds"/>
    <x:tableColumn id="15" name="External Wait Minutes"/>
    <x:tableColumn id="16" name="Active Min/Doc"/>
    <x:tableColumn id="17" name="Rework Min/Doc"/>
    <x:tableColumn id="18" name="Docs/Operator Hour"/>
    <x:tableColumn id="19" name="Usable Baseline?"/>
    <x:tableColumn id="2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tageTimingTable" displayName="StageTimingTable" ref="A1:L101" headerRowCount="1">
  <x:tableColumns count="12">
    <x:tableColumn id="1" name="Timing Row ID"/>
    <x:tableColumn id="2" name="Observation ID"/>
    <x:tableColumn id="3" name="Interview ID"/>
    <x:tableColumn id="4" name="Sequence"/>
    <x:tableColumn id="5" name="Stage"/>
    <x:tableColumn id="6" name="Tool/Handoff"/>
    <x:tableColumn id="7" name="Active Seconds"/>
    <x:tableColumn id="8" name="System Wait Seconds"/>
    <x:tableColumn id="9" name="Rework Seconds"/>
    <x:tableColumn id="10" name="Documents Affected"/>
    <x:tableColumn id="11" name="Interruption?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rrorsTable" displayName="ErrorsTable" ref="A1:M101" headerRowCount="1">
  <x:tableColumns count="13">
    <x:tableColumn id="1" name="Event ID"/>
    <x:tableColumn id="2" name="Interview ID"/>
    <x:tableColumn id="3" name="Observation ID"/>
    <x:tableColumn id="4" name="Workflow Stage"/>
    <x:tableColumn id="5" name="Field/Output"/>
    <x:tableColumn id="6" name="Error Category"/>
    <x:tableColumn id="7" name="Severity"/>
    <x:tableColumn id="8" name="Root Cause"/>
    <x:tableColumn id="9" name="How Detected"/>
    <x:tableColumn id="10" name="Correction Minutes"/>
    <x:tableColumn id="11" name="Downstream Impact"/>
    <x:tableColumn id="12" name="Product Response"/>
    <x:tableColumn id="1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InterviewBaselineTable" displayName="InterviewBaselineTable" ref="A1:O11" headerRowCount="1">
  <x:tableColumns count="15">
    <x:tableColumn id="1" name="Interview ID"/>
    <x:tableColumn id="2" name="Organization ID"/>
    <x:tableColumn id="3" name="Role"/>
    <x:tableColumn id="4" name="Completed?"/>
    <x:tableColumn id="5" name="Usable Observations"/>
    <x:tableColumn id="6" name="Documents Timed"/>
    <x:tableColumn id="7" name="Active Minutes"/>
    <x:tableColumn id="8" name="Rework Minutes"/>
    <x:tableColumn id="9" name="Touch Min/Doc"/>
    <x:tableColumn id="10" name="Errors Recorded"/>
    <x:tableColumn id="11" name="Critical/High Errors"/>
    <x:tableColumn id="12" name="Reviewed Export Useful?"/>
    <x:tableColumn id="13" name="Pilot Willingness"/>
    <x:tableColumn id="14" name="Quality Flag"/>
    <x:tableColumn id="15" name="Key Finding"/>
  </x:tableColumns>
  <x:tableStyleInfo name="TableStyleMedium2" showRowStripes="1"/>
</x:table>
</file>

<file path=xl/tables/table7.xml><?xml version="1.0" encoding="utf-8"?>
<x:table xmlns:x="http://schemas.openxmlformats.org/spreadsheetml/2006/main" id="7" name="HypothesesTable" displayName="HypothesesTable" ref="A1:F6" headerRowCount="1">
  <x:tableColumns count="6">
    <x:tableColumn id="1" name="Hypothesis"/>
    <x:tableColumn id="2" name="Result"/>
    <x:tableColumn id="3" name="Evidence Interview IDs"/>
    <x:tableColumn id="4" name="Evidence Summary"/>
    <x:tableColumn id="5" name="Decision"/>
    <x:tableColumn id="6" name="Follow-up Iss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c4cc1682dc4d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2c4c94662a4a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f4ae1e8cfa4a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111abe06cd4b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7dfede289c4b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0c8cf195e146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dd11051b1244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d1b19aec0669448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6" t="str">
        <x:v>Candidate Status</x:v>
      </x:c>
      <x:c r="B1" s="6" t="str">
        <x:v>Priority</x:v>
      </x:c>
      <x:c r="C1" s="6" t="str">
        <x:v>Interview Type</x:v>
      </x:c>
      <x:c r="D1" s="6" t="str">
        <x:v>Measurement Method</x:v>
      </x:c>
      <x:c r="E1" s="6" t="str">
        <x:v>Yes/No/Unknown</x:v>
      </x:c>
      <x:c r="F1" s="6" t="str">
        <x:v>Severity</x:v>
      </x:c>
      <x:c r="G1" s="6" t="str">
        <x:v>Workflow Stage</x:v>
      </x:c>
      <x:c r="H1" s="6" t="str">
        <x:v>Error Category</x:v>
      </x:c>
      <x:c r="I1" s="6" t="str">
        <x:v>Root Cause</x:v>
      </x:c>
      <x:c r="J1" s="6" t="str">
        <x:v>Product Response</x:v>
      </x:c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</x:row>
    <x:row r="2">
      <x:c r="A2" s="28" t="str">
        <x:v>Identified</x:v>
      </x:c>
      <x:c r="B2" s="28" t="str">
        <x:v>P0</x:v>
      </x:c>
      <x:c r="C2" s="28" t="str">
        <x:v>Operator</x:v>
      </x:c>
      <x:c r="D2" s="28" t="str">
        <x:v>OBSERVED</x:v>
      </x:c>
      <x:c r="E2" s="28" t="str">
        <x:v>Yes</x:v>
      </x:c>
      <x:c r="F2" s="28" t="str">
        <x:v>CRITICAL</x:v>
      </x:c>
      <x:c r="G2" s="28" t="str">
        <x:v>INTAKE</x:v>
      </x:c>
      <x:c r="H2" s="28" t="str">
        <x:v>SOURCE_QUALITY</x:v>
      </x:c>
      <x:c r="I2" s="28" t="str">
        <x:v>SOURCE_AMBIGUOUS</x:v>
      </x:c>
      <x:c r="J2" s="28" t="str">
        <x:v>AUTOMATE</x:v>
      </x:c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</x:row>
    <x:row r="3">
      <x:c r="A3" s="28" t="str">
        <x:v>Contacted</x:v>
      </x:c>
      <x:c r="B3" s="28" t="str">
        <x:v>P1</x:v>
      </x:c>
      <x:c r="C3" s="28" t="str">
        <x:v>Reviewer</x:v>
      </x:c>
      <x:c r="D3" s="28" t="str">
        <x:v>SYSTEM_SUPPORTED</x:v>
      </x:c>
      <x:c r="E3" s="28" t="str">
        <x:v>No</x:v>
      </x:c>
      <x:c r="F3" s="28" t="str">
        <x:v>HIGH</x:v>
      </x:c>
      <x:c r="G3" s="28" t="str">
        <x:v>PREP</x:v>
      </x:c>
      <x:c r="H3" s="28" t="str">
        <x:v>FILE_HANDLING</x:v>
      </x:c>
      <x:c r="I3" s="28" t="str">
        <x:v>OPERATOR_ENTRY</x:v>
      </x:c>
      <x:c r="J3" s="28" t="str">
        <x:v>DETECT</x:v>
      </x:c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</x:row>
    <x:row r="4">
      <x:c r="A4" s="28" t="str">
        <x:v>Replied</x:v>
      </x:c>
      <x:c r="B4" s="28" t="str">
        <x:v>P2</x:v>
      </x:c>
      <x:c r="C4" s="28" t="str">
        <x:v>Team Lead</x:v>
      </x:c>
      <x:c r="D4" s="28" t="str">
        <x:v>RECENT_RECALL</x:v>
      </x:c>
      <x:c r="E4" s="28" t="str">
        <x:v>Unknown</x:v>
      </x:c>
      <x:c r="F4" s="28" t="str">
        <x:v>MEDIUM</x:v>
      </x:c>
      <x:c r="G4" s="28" t="str">
        <x:v>CLASSIFY</x:v>
      </x:c>
      <x:c r="H4" s="28" t="str">
        <x:v>DOC_CLASS</x:v>
      </x:c>
      <x:c r="I4" s="28" t="str">
        <x:v>MASTER_DATA</x:v>
      </x:c>
      <x:c r="J4" s="28" t="str">
        <x:v>HIGHLIGHT_EVIDENCE</x:v>
      </x:c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</x:row>
    <x:row r="5">
      <x:c r="A5" s="28" t="str">
        <x:v>Screened</x:v>
      </x:c>
      <x:c r="B5" s="28"/>
      <x:c r="C5" s="28" t="str">
        <x:v>Owner/Operations</x:v>
      </x:c>
      <x:c r="D5" s="28" t="str">
        <x:v>GENERAL_ESTIMATE</x:v>
      </x:c>
      <x:c r="E5" s="28"/>
      <x:c r="F5" s="28" t="str">
        <x:v>LOW</x:v>
      </x:c>
      <x:c r="G5" s="28" t="str">
        <x:v>READ_HEADER</x:v>
      </x:c>
      <x:c r="H5" s="28" t="str">
        <x:v>PARTY</x:v>
      </x:c>
      <x:c r="I5" s="28" t="str">
        <x:v>PROCESS_GAP</x:v>
      </x:c>
      <x:c r="J5" s="28" t="str">
        <x:v>REQUIRE_CONFIRMATION</x:v>
      </x:c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</x:row>
    <x:row r="6">
      <x:c r="A6" s="28" t="str">
        <x:v>Scheduled</x:v>
      </x:c>
      <x:c r="B6" s="28"/>
      <x:c r="C6" s="28"/>
      <x:c r="D6" s="28"/>
      <x:c r="E6" s="28"/>
      <x:c r="F6" s="28"/>
      <x:c r="G6" s="28" t="str">
        <x:v>READ_LINES</x:v>
      </x:c>
      <x:c r="H6" s="28" t="str">
        <x:v>IDENTIFIER</x:v>
      </x:c>
      <x:c r="I6" s="28" t="str">
        <x:v>SYSTEM_LIMITATION</x:v>
      </x:c>
      <x:c r="J6" s="28" t="str">
        <x:v>BLOCK_EXPORT</x:v>
      </x:c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</x:row>
    <x:row r="7">
      <x:c r="A7" s="28" t="str">
        <x:v>Completed</x:v>
      </x:c>
      <x:c r="B7" s="28"/>
      <x:c r="C7" s="28"/>
      <x:c r="D7" s="28"/>
      <x:c r="E7" s="28"/>
      <x:c r="F7" s="28"/>
      <x:c r="G7" s="28" t="str">
        <x:v>LOOKUP</x:v>
      </x:c>
      <x:c r="H7" s="28" t="str">
        <x:v>DATE</x:v>
      </x:c>
      <x:c r="I7" s="28" t="str">
        <x:v>IMPORT_TEMPLATE</x:v>
      </x:c>
      <x:c r="J7" s="28" t="str">
        <x:v>OUT_OF_SCOPE</x:v>
      </x:c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</x:row>
    <x:row r="8">
      <x:c r="A8" s="28" t="str">
        <x:v>Declined</x:v>
      </x:c>
      <x:c r="B8" s="28"/>
      <x:c r="C8" s="28"/>
      <x:c r="D8" s="28"/>
      <x:c r="E8" s="28"/>
      <x:c r="F8" s="28"/>
      <x:c r="G8" s="28" t="str">
        <x:v>VALIDATE</x:v>
      </x:c>
      <x:c r="H8" s="28" t="str">
        <x:v>CURRENCY</x:v>
      </x:c>
      <x:c r="I8" s="28" t="str">
        <x:v>SUPPLIER_ERROR</x:v>
      </x:c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</x:row>
    <x:row r="9">
      <x:c r="A9" s="28" t="str">
        <x:v>Disqualified</x:v>
      </x:c>
      <x:c r="B9" s="28"/>
      <x:c r="C9" s="28"/>
      <x:c r="D9" s="28"/>
      <x:c r="E9" s="28"/>
      <x:c r="F9" s="28"/>
      <x:c r="G9" s="28" t="str">
        <x:v>CODE</x:v>
      </x:c>
      <x:c r="H9" s="28" t="str">
        <x:v>AMOUNT</x:v>
      </x:c>
      <x:c r="I9" s="28" t="str">
        <x:v>CUSTOMER_RULE</x:v>
      </x:c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</x:row>
    <x:row r="10">
      <x:c r="A10" s="28"/>
      <x:c r="B10" s="28"/>
      <x:c r="C10" s="28"/>
      <x:c r="D10" s="28"/>
      <x:c r="E10" s="28"/>
      <x:c r="F10" s="28"/>
      <x:c r="G10" s="28" t="str">
        <x:v>ENTER</x:v>
      </x:c>
      <x:c r="H10" s="28" t="str">
        <x:v>TAX</x:v>
      </x:c>
      <x:c r="I10" s="28" t="str">
        <x:v>UNKNOWN</x:v>
      </x:c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</x:row>
    <x:row r="11">
      <x:c r="A11" s="28"/>
      <x:c r="B11" s="28"/>
      <x:c r="C11" s="28"/>
      <x:c r="D11" s="28"/>
      <x:c r="E11" s="28"/>
      <x:c r="F11" s="28"/>
      <x:c r="G11" s="28" t="str">
        <x:v>PREP_EXPORT</x:v>
      </x:c>
      <x:c r="H11" s="28" t="str">
        <x:v>LINE_ITEM</x:v>
      </x:c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</x:row>
    <x:row r="12">
      <x:c r="A12" s="28"/>
      <x:c r="B12" s="28"/>
      <x:c r="C12" s="28"/>
      <x:c r="D12" s="28"/>
      <x:c r="E12" s="28"/>
      <x:c r="F12" s="28"/>
      <x:c r="G12" s="28" t="str">
        <x:v>IMPORT</x:v>
      </x:c>
      <x:c r="H12" s="28" t="str">
        <x:v>CLASSIFICATION</x:v>
      </x:c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</x:row>
    <x:row r="13">
      <x:c r="A13" s="28"/>
      <x:c r="B13" s="28"/>
      <x:c r="C13" s="28"/>
      <x:c r="D13" s="28"/>
      <x:c r="E13" s="28"/>
      <x:c r="F13" s="28"/>
      <x:c r="G13" s="28" t="str">
        <x:v>REVIEW</x:v>
      </x:c>
      <x:c r="H13" s="28" t="str">
        <x:v>DUPLICATE</x:v>
      </x:c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</x:row>
    <x:row r="14">
      <x:c r="A14" s="28"/>
      <x:c r="B14" s="28"/>
      <x:c r="C14" s="28"/>
      <x:c r="D14" s="28"/>
      <x:c r="E14" s="28"/>
      <x:c r="F14" s="28"/>
      <x:c r="G14" s="28" t="str">
        <x:v>CLARIFY</x:v>
      </x:c>
      <x:c r="H14" s="28" t="str">
        <x:v>ARITHMETIC</x:v>
      </x:c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</x:row>
    <x:row r="15">
      <x:c r="A15" s="28"/>
      <x:c r="B15" s="28"/>
      <x:c r="C15" s="28"/>
      <x:c r="D15" s="28"/>
      <x:c r="E15" s="28"/>
      <x:c r="F15" s="28"/>
      <x:c r="G15" s="28" t="str">
        <x:v>ARCHIVE</x:v>
      </x:c>
      <x:c r="H15" s="28" t="str">
        <x:v>EXPORT_MAPPING</x:v>
      </x:c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</x:row>
    <x:row r="16">
      <x:c r="A16" s="28"/>
      <x:c r="B16" s="28"/>
      <x:c r="C16" s="28"/>
      <x:c r="D16" s="28"/>
      <x:c r="E16" s="28"/>
      <x:c r="F16" s="28"/>
      <x:c r="G16" s="28" t="str">
        <x:v>REWORK</x:v>
      </x:c>
      <x:c r="H16" s="28" t="str">
        <x:v>SYSTEM_ENTRY</x:v>
      </x:c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</x:row>
    <x:row r="17">
      <x:c r="A17" s="28"/>
      <x:c r="B17" s="28"/>
      <x:c r="C17" s="28"/>
      <x:c r="D17" s="28"/>
      <x:c r="E17" s="28"/>
      <x:c r="F17" s="28"/>
      <x:c r="G17" s="28" t="str">
        <x:v>OTHER</x:v>
      </x:c>
      <x:c r="H17" s="28" t="str">
        <x:v>REVIEW_ESCAPE</x:v>
      </x:c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</x:row>
    <x:row r="18">
      <x:c r="A18" s="28"/>
      <x:c r="B18" s="28"/>
      <x:c r="C18" s="28"/>
      <x:c r="D18" s="28"/>
      <x:c r="E18" s="28"/>
      <x:c r="F18" s="28"/>
      <x:c r="G18" s="28"/>
      <x:c r="H18" s="28" t="str">
        <x:v>PERMISSION</x:v>
      </x:c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</x:row>
    <x:row r="19">
      <x:c r="A19" s="28"/>
      <x:c r="B19" s="28"/>
      <x:c r="C19" s="28"/>
      <x:c r="D19" s="28"/>
      <x:c r="E19" s="28"/>
      <x:c r="F19" s="28"/>
      <x:c r="G19" s="28"/>
      <x:c r="H19" s="28" t="str">
        <x:v>OTHER</x:v>
      </x:c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15" hidden="0" customWidth="1"/>
    <x:col min="5" max="5" width="15" hidden="0" customWidth="1"/>
    <x:col min="6" max="6" width="20" hidden="0" customWidth="1"/>
    <x:col min="7" max="7" width="12" hidden="0" customWidth="1"/>
    <x:col min="8" max="8" width="24" hidden="0" customWidth="1"/>
    <x:col min="9" max="9" width="10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  <x:col min="14" max="14" width="34" hidden="0" customWidth="1"/>
  </x:cols>
  <x:sheetData>
    <x:row r="1">
      <x:c r="A1" s="6" t="str">
        <x:v>Candidate ID</x:v>
      </x:c>
      <x:c r="B1" s="6" t="str">
        <x:v>Organization ID</x:v>
      </x:c>
      <x:c r="C1" s="6" t="str">
        <x:v>Role</x:v>
      </x:c>
      <x:c r="D1" s="6" t="str">
        <x:v>Direct Operator?</x:v>
      </x:c>
      <x:c r="E1" s="6" t="str">
        <x:v>Monthly Volume</x:v>
      </x:c>
      <x:c r="F1" s="6" t="str">
        <x:v>Multi-country/Currency?</x:v>
      </x:c>
      <x:c r="G1" s="6" t="str">
        <x:v>Line Items?</x:v>
      </x:c>
      <x:c r="H1" s="6" t="str">
        <x:v>Downstream System</x:v>
      </x:c>
      <x:c r="I1" s="6" t="str">
        <x:v>Priority</x:v>
      </x:c>
      <x:c r="J1" s="6" t="str">
        <x:v>Status</x:v>
      </x:c>
      <x:c r="K1" s="6" t="str">
        <x:v>First Contact</x:v>
      </x:c>
      <x:c r="L1" s="6" t="str">
        <x:v>Interview Date</x:v>
      </x:c>
      <x:c r="M1" s="6" t="str">
        <x:v>Referral Source</x:v>
      </x:c>
      <x:c r="N1" s="6" t="str">
        <x:v>Notes</x:v>
      </x:c>
      <x:c r="O1" s="28"/>
      <x:c r="P1" s="28"/>
      <x:c r="Q1" s="28"/>
      <x:c r="R1" s="28"/>
      <x:c r="S1" s="28"/>
      <x:c r="T1" s="28"/>
      <x:c r="U1" s="28"/>
    </x:row>
    <x:row r="2">
      <x:c r="A2" s="28" t="str">
        <x:v>CAND-001</x:v>
      </x:c>
      <x:c r="B2" s="28" t="str"/>
      <x:c r="C2" s="28" t="str"/>
      <x:c r="D2" s="28" t="str"/>
      <x:c r="E2" s="28"/>
      <x:c r="F2" s="28" t="str"/>
      <x:c r="G2" s="28" t="str"/>
      <x:c r="H2" s="28" t="str"/>
      <x:c r="I2" s="28" t="str">
        <x:v>P1</x:v>
      </x:c>
      <x:c r="J2" s="28" t="str">
        <x:v>Identified</x:v>
      </x:c>
      <x:c r="K2" s="30"/>
      <x:c r="L2" s="30"/>
      <x:c r="M2" s="28" t="str"/>
      <x:c r="N2" s="28" t="str"/>
      <x:c r="O2" s="28"/>
      <x:c r="P2" s="28"/>
      <x:c r="Q2" s="28"/>
      <x:c r="R2" s="28"/>
      <x:c r="S2" s="28"/>
      <x:c r="T2" s="28"/>
      <x:c r="U2" s="28"/>
    </x:row>
    <x:row r="3">
      <x:c r="A3" s="28" t="str">
        <x:v>CAND-002</x:v>
      </x:c>
      <x:c r="B3" s="28" t="str"/>
      <x:c r="C3" s="28" t="str"/>
      <x:c r="D3" s="28" t="str"/>
      <x:c r="E3" s="28"/>
      <x:c r="F3" s="28" t="str"/>
      <x:c r="G3" s="28" t="str"/>
      <x:c r="H3" s="28" t="str"/>
      <x:c r="I3" s="28" t="str">
        <x:v>P1</x:v>
      </x:c>
      <x:c r="J3" s="28" t="str">
        <x:v>Identified</x:v>
      </x:c>
      <x:c r="K3" s="30"/>
      <x:c r="L3" s="30"/>
      <x:c r="M3" s="28" t="str"/>
      <x:c r="N3" s="28" t="str"/>
      <x:c r="O3" s="28"/>
      <x:c r="P3" s="28"/>
      <x:c r="Q3" s="28"/>
      <x:c r="R3" s="28"/>
      <x:c r="S3" s="28"/>
      <x:c r="T3" s="28"/>
      <x:c r="U3" s="28"/>
    </x:row>
    <x:row r="4">
      <x:c r="A4" s="28" t="str">
        <x:v>CAND-003</x:v>
      </x:c>
      <x:c r="B4" s="28" t="str"/>
      <x:c r="C4" s="28" t="str"/>
      <x:c r="D4" s="28" t="str"/>
      <x:c r="E4" s="28"/>
      <x:c r="F4" s="28" t="str"/>
      <x:c r="G4" s="28" t="str"/>
      <x:c r="H4" s="28" t="str"/>
      <x:c r="I4" s="28" t="str">
        <x:v>P1</x:v>
      </x:c>
      <x:c r="J4" s="28" t="str">
        <x:v>Identified</x:v>
      </x:c>
      <x:c r="K4" s="30"/>
      <x:c r="L4" s="30"/>
      <x:c r="M4" s="28" t="str"/>
      <x:c r="N4" s="28" t="str"/>
      <x:c r="O4" s="28"/>
      <x:c r="P4" s="28"/>
      <x:c r="Q4" s="28"/>
      <x:c r="R4" s="28"/>
      <x:c r="S4" s="28"/>
      <x:c r="T4" s="28"/>
      <x:c r="U4" s="28"/>
    </x:row>
    <x:row r="5">
      <x:c r="A5" s="28" t="str">
        <x:v>CAND-004</x:v>
      </x:c>
      <x:c r="B5" s="28" t="str"/>
      <x:c r="C5" s="28" t="str"/>
      <x:c r="D5" s="28" t="str"/>
      <x:c r="E5" s="28"/>
      <x:c r="F5" s="28" t="str"/>
      <x:c r="G5" s="28" t="str"/>
      <x:c r="H5" s="28" t="str"/>
      <x:c r="I5" s="28" t="str">
        <x:v>P1</x:v>
      </x:c>
      <x:c r="J5" s="28" t="str">
        <x:v>Identified</x:v>
      </x:c>
      <x:c r="K5" s="30"/>
      <x:c r="L5" s="30"/>
      <x:c r="M5" s="28" t="str"/>
      <x:c r="N5" s="28" t="str"/>
      <x:c r="O5" s="28"/>
      <x:c r="P5" s="28"/>
      <x:c r="Q5" s="28"/>
      <x:c r="R5" s="28"/>
      <x:c r="S5" s="28"/>
      <x:c r="T5" s="28"/>
      <x:c r="U5" s="28"/>
    </x:row>
    <x:row r="6">
      <x:c r="A6" s="28" t="str">
        <x:v>CAND-005</x:v>
      </x:c>
      <x:c r="B6" s="28" t="str"/>
      <x:c r="C6" s="28" t="str"/>
      <x:c r="D6" s="28" t="str"/>
      <x:c r="E6" s="28"/>
      <x:c r="F6" s="28" t="str"/>
      <x:c r="G6" s="28" t="str"/>
      <x:c r="H6" s="28" t="str"/>
      <x:c r="I6" s="28" t="str">
        <x:v>P1</x:v>
      </x:c>
      <x:c r="J6" s="28" t="str">
        <x:v>Identified</x:v>
      </x:c>
      <x:c r="K6" s="30"/>
      <x:c r="L6" s="30"/>
      <x:c r="M6" s="28" t="str"/>
      <x:c r="N6" s="28" t="str"/>
      <x:c r="O6" s="28"/>
      <x:c r="P6" s="28"/>
      <x:c r="Q6" s="28"/>
      <x:c r="R6" s="28"/>
      <x:c r="S6" s="28"/>
      <x:c r="T6" s="28"/>
      <x:c r="U6" s="28"/>
    </x:row>
    <x:row r="7">
      <x:c r="A7" s="28" t="str">
        <x:v>CAND-006</x:v>
      </x:c>
      <x:c r="B7" s="28" t="str"/>
      <x:c r="C7" s="28" t="str"/>
      <x:c r="D7" s="28" t="str"/>
      <x:c r="E7" s="28"/>
      <x:c r="F7" s="28" t="str"/>
      <x:c r="G7" s="28" t="str"/>
      <x:c r="H7" s="28" t="str"/>
      <x:c r="I7" s="28" t="str">
        <x:v>P1</x:v>
      </x:c>
      <x:c r="J7" s="28" t="str">
        <x:v>Identified</x:v>
      </x:c>
      <x:c r="K7" s="30"/>
      <x:c r="L7" s="30"/>
      <x:c r="M7" s="28" t="str"/>
      <x:c r="N7" s="28" t="str"/>
      <x:c r="O7" s="28"/>
      <x:c r="P7" s="28"/>
      <x:c r="Q7" s="28"/>
      <x:c r="R7" s="28"/>
      <x:c r="S7" s="28"/>
      <x:c r="T7" s="28"/>
      <x:c r="U7" s="28"/>
    </x:row>
    <x:row r="8">
      <x:c r="A8" s="28" t="str">
        <x:v>CAND-007</x:v>
      </x:c>
      <x:c r="B8" s="28" t="str"/>
      <x:c r="C8" s="28" t="str"/>
      <x:c r="D8" s="28" t="str"/>
      <x:c r="E8" s="28"/>
      <x:c r="F8" s="28" t="str"/>
      <x:c r="G8" s="28" t="str"/>
      <x:c r="H8" s="28" t="str"/>
      <x:c r="I8" s="28" t="str">
        <x:v>P1</x:v>
      </x:c>
      <x:c r="J8" s="28" t="str">
        <x:v>Identified</x:v>
      </x:c>
      <x:c r="K8" s="30"/>
      <x:c r="L8" s="30"/>
      <x:c r="M8" s="28" t="str"/>
      <x:c r="N8" s="28" t="str"/>
      <x:c r="O8" s="28"/>
      <x:c r="P8" s="28"/>
      <x:c r="Q8" s="28"/>
      <x:c r="R8" s="28"/>
      <x:c r="S8" s="28"/>
      <x:c r="T8" s="28"/>
      <x:c r="U8" s="28"/>
    </x:row>
    <x:row r="9">
      <x:c r="A9" s="28" t="str">
        <x:v>CAND-008</x:v>
      </x:c>
      <x:c r="B9" s="28" t="str"/>
      <x:c r="C9" s="28" t="str"/>
      <x:c r="D9" s="28" t="str"/>
      <x:c r="E9" s="28"/>
      <x:c r="F9" s="28" t="str"/>
      <x:c r="G9" s="28" t="str"/>
      <x:c r="H9" s="28" t="str"/>
      <x:c r="I9" s="28" t="str">
        <x:v>P1</x:v>
      </x:c>
      <x:c r="J9" s="28" t="str">
        <x:v>Identified</x:v>
      </x:c>
      <x:c r="K9" s="30"/>
      <x:c r="L9" s="30"/>
      <x:c r="M9" s="28" t="str"/>
      <x:c r="N9" s="28" t="str"/>
      <x:c r="O9" s="28"/>
      <x:c r="P9" s="28"/>
      <x:c r="Q9" s="28"/>
      <x:c r="R9" s="28"/>
      <x:c r="S9" s="28"/>
      <x:c r="T9" s="28"/>
      <x:c r="U9" s="28"/>
    </x:row>
    <x:row r="10">
      <x:c r="A10" s="28" t="str">
        <x:v>CAND-009</x:v>
      </x:c>
      <x:c r="B10" s="28" t="str"/>
      <x:c r="C10" s="28" t="str"/>
      <x:c r="D10" s="28" t="str"/>
      <x:c r="E10" s="28"/>
      <x:c r="F10" s="28" t="str"/>
      <x:c r="G10" s="28" t="str"/>
      <x:c r="H10" s="28" t="str"/>
      <x:c r="I10" s="28" t="str">
        <x:v>P1</x:v>
      </x:c>
      <x:c r="J10" s="28" t="str">
        <x:v>Identified</x:v>
      </x:c>
      <x:c r="K10" s="30"/>
      <x:c r="L10" s="30"/>
      <x:c r="M10" s="28" t="str"/>
      <x:c r="N10" s="28" t="str"/>
      <x:c r="O10" s="28"/>
      <x:c r="P10" s="28"/>
      <x:c r="Q10" s="28"/>
      <x:c r="R10" s="28"/>
      <x:c r="S10" s="28"/>
      <x:c r="T10" s="28"/>
      <x:c r="U10" s="28"/>
    </x:row>
    <x:row r="11">
      <x:c r="A11" s="28" t="str">
        <x:v>CAND-010</x:v>
      </x:c>
      <x:c r="B11" s="28" t="str"/>
      <x:c r="C11" s="28" t="str"/>
      <x:c r="D11" s="28" t="str"/>
      <x:c r="E11" s="28"/>
      <x:c r="F11" s="28" t="str"/>
      <x:c r="G11" s="28" t="str"/>
      <x:c r="H11" s="28" t="str"/>
      <x:c r="I11" s="28" t="str">
        <x:v>P1</x:v>
      </x:c>
      <x:c r="J11" s="28" t="str">
        <x:v>Identified</x:v>
      </x:c>
      <x:c r="K11" s="30"/>
      <x:c r="L11" s="30"/>
      <x:c r="M11" s="28" t="str"/>
      <x:c r="N11" s="28" t="str"/>
      <x:c r="O11" s="28"/>
      <x:c r="P11" s="28"/>
      <x:c r="Q11" s="28"/>
      <x:c r="R11" s="28"/>
      <x:c r="S11" s="28"/>
      <x:c r="T11" s="28"/>
      <x:c r="U11" s="28"/>
    </x:row>
    <x:row r="12">
      <x:c r="A12" s="28" t="str">
        <x:v>CAND-011</x:v>
      </x:c>
      <x:c r="B12" s="28" t="str"/>
      <x:c r="C12" s="28" t="str"/>
      <x:c r="D12" s="28" t="str"/>
      <x:c r="E12" s="28"/>
      <x:c r="F12" s="28" t="str"/>
      <x:c r="G12" s="28" t="str"/>
      <x:c r="H12" s="28" t="str"/>
      <x:c r="I12" s="28" t="str">
        <x:v>P1</x:v>
      </x:c>
      <x:c r="J12" s="28" t="str">
        <x:v>Identified</x:v>
      </x:c>
      <x:c r="K12" s="30"/>
      <x:c r="L12" s="30"/>
      <x:c r="M12" s="28" t="str"/>
      <x:c r="N12" s="28" t="str"/>
      <x:c r="O12" s="28"/>
      <x:c r="P12" s="28"/>
      <x:c r="Q12" s="28"/>
      <x:c r="R12" s="28"/>
      <x:c r="S12" s="28"/>
      <x:c r="T12" s="28"/>
      <x:c r="U12" s="28"/>
    </x:row>
    <x:row r="13">
      <x:c r="A13" s="28" t="str">
        <x:v>CAND-012</x:v>
      </x:c>
      <x:c r="B13" s="28" t="str"/>
      <x:c r="C13" s="28" t="str"/>
      <x:c r="D13" s="28" t="str"/>
      <x:c r="E13" s="28"/>
      <x:c r="F13" s="28" t="str"/>
      <x:c r="G13" s="28" t="str"/>
      <x:c r="H13" s="28" t="str"/>
      <x:c r="I13" s="28" t="str">
        <x:v>P1</x:v>
      </x:c>
      <x:c r="J13" s="28" t="str">
        <x:v>Identified</x:v>
      </x:c>
      <x:c r="K13" s="30"/>
      <x:c r="L13" s="30"/>
      <x:c r="M13" s="28" t="str"/>
      <x:c r="N13" s="28" t="str"/>
      <x:c r="O13" s="28"/>
      <x:c r="P13" s="28"/>
      <x:c r="Q13" s="28"/>
      <x:c r="R13" s="28"/>
      <x:c r="S13" s="28"/>
      <x:c r="T13" s="28"/>
      <x:c r="U13" s="28"/>
    </x:row>
    <x:row r="14">
      <x:c r="A14" s="28" t="str">
        <x:v>CAND-013</x:v>
      </x:c>
      <x:c r="B14" s="28" t="str"/>
      <x:c r="C14" s="28" t="str"/>
      <x:c r="D14" s="28" t="str"/>
      <x:c r="E14" s="28"/>
      <x:c r="F14" s="28" t="str"/>
      <x:c r="G14" s="28" t="str"/>
      <x:c r="H14" s="28" t="str"/>
      <x:c r="I14" s="28" t="str">
        <x:v>P1</x:v>
      </x:c>
      <x:c r="J14" s="28" t="str">
        <x:v>Identified</x:v>
      </x:c>
      <x:c r="K14" s="30"/>
      <x:c r="L14" s="30"/>
      <x:c r="M14" s="28" t="str"/>
      <x:c r="N14" s="28" t="str"/>
      <x:c r="O14" s="28"/>
      <x:c r="P14" s="28"/>
      <x:c r="Q14" s="28"/>
      <x:c r="R14" s="28"/>
      <x:c r="S14" s="28"/>
      <x:c r="T14" s="28"/>
      <x:c r="U14" s="28"/>
    </x:row>
    <x:row r="15">
      <x:c r="A15" s="28" t="str">
        <x:v>CAND-014</x:v>
      </x:c>
      <x:c r="B15" s="28" t="str"/>
      <x:c r="C15" s="28" t="str"/>
      <x:c r="D15" s="28" t="str"/>
      <x:c r="E15" s="28"/>
      <x:c r="F15" s="28" t="str"/>
      <x:c r="G15" s="28" t="str"/>
      <x:c r="H15" s="28" t="str"/>
      <x:c r="I15" s="28" t="str">
        <x:v>P1</x:v>
      </x:c>
      <x:c r="J15" s="28" t="str">
        <x:v>Identified</x:v>
      </x:c>
      <x:c r="K15" s="30"/>
      <x:c r="L15" s="30"/>
      <x:c r="M15" s="28" t="str"/>
      <x:c r="N15" s="28" t="str"/>
      <x:c r="O15" s="28"/>
      <x:c r="P15" s="28"/>
      <x:c r="Q15" s="28"/>
      <x:c r="R15" s="28"/>
      <x:c r="S15" s="28"/>
      <x:c r="T15" s="28"/>
      <x:c r="U15" s="28"/>
    </x:row>
    <x:row r="16">
      <x:c r="A16" s="28" t="str">
        <x:v>CAND-015</x:v>
      </x:c>
      <x:c r="B16" s="28" t="str"/>
      <x:c r="C16" s="28" t="str"/>
      <x:c r="D16" s="28" t="str"/>
      <x:c r="E16" s="28"/>
      <x:c r="F16" s="28" t="str"/>
      <x:c r="G16" s="28" t="str"/>
      <x:c r="H16" s="28" t="str"/>
      <x:c r="I16" s="28" t="str">
        <x:v>P1</x:v>
      </x:c>
      <x:c r="J16" s="28" t="str">
        <x:v>Identified</x:v>
      </x:c>
      <x:c r="K16" s="30"/>
      <x:c r="L16" s="30"/>
      <x:c r="M16" s="28" t="str"/>
      <x:c r="N16" s="28" t="str"/>
      <x:c r="O16" s="28"/>
      <x:c r="P16" s="28"/>
      <x:c r="Q16" s="28"/>
      <x:c r="R16" s="28"/>
      <x:c r="S16" s="28"/>
      <x:c r="T16" s="28"/>
      <x:c r="U16" s="28"/>
    </x:row>
    <x:row r="17">
      <x:c r="A17" s="28" t="str">
        <x:v>CAND-016</x:v>
      </x:c>
      <x:c r="B17" s="28" t="str"/>
      <x:c r="C17" s="28" t="str"/>
      <x:c r="D17" s="28" t="str"/>
      <x:c r="E17" s="28"/>
      <x:c r="F17" s="28" t="str"/>
      <x:c r="G17" s="28" t="str"/>
      <x:c r="H17" s="28" t="str"/>
      <x:c r="I17" s="28" t="str">
        <x:v>P1</x:v>
      </x:c>
      <x:c r="J17" s="28" t="str">
        <x:v>Identified</x:v>
      </x:c>
      <x:c r="K17" s="30"/>
      <x:c r="L17" s="30"/>
      <x:c r="M17" s="28" t="str"/>
      <x:c r="N17" s="28" t="str"/>
      <x:c r="O17" s="28"/>
      <x:c r="P17" s="28"/>
      <x:c r="Q17" s="28"/>
      <x:c r="R17" s="28"/>
      <x:c r="S17" s="28"/>
      <x:c r="T17" s="28"/>
      <x:c r="U17" s="28"/>
    </x:row>
    <x:row r="18">
      <x:c r="A18" s="28" t="str">
        <x:v>CAND-017</x:v>
      </x:c>
      <x:c r="B18" s="28" t="str"/>
      <x:c r="C18" s="28" t="str"/>
      <x:c r="D18" s="28" t="str"/>
      <x:c r="E18" s="28"/>
      <x:c r="F18" s="28" t="str"/>
      <x:c r="G18" s="28" t="str"/>
      <x:c r="H18" s="28" t="str"/>
      <x:c r="I18" s="28" t="str">
        <x:v>P1</x:v>
      </x:c>
      <x:c r="J18" s="28" t="str">
        <x:v>Identified</x:v>
      </x:c>
      <x:c r="K18" s="30"/>
      <x:c r="L18" s="30"/>
      <x:c r="M18" s="28" t="str"/>
      <x:c r="N18" s="28" t="str"/>
      <x:c r="O18" s="28"/>
      <x:c r="P18" s="28"/>
      <x:c r="Q18" s="28"/>
      <x:c r="R18" s="28"/>
      <x:c r="S18" s="28"/>
      <x:c r="T18" s="28"/>
      <x:c r="U18" s="28"/>
    </x:row>
    <x:row r="19">
      <x:c r="A19" s="28" t="str">
        <x:v>CAND-018</x:v>
      </x:c>
      <x:c r="B19" s="28" t="str"/>
      <x:c r="C19" s="28" t="str"/>
      <x:c r="D19" s="28" t="str"/>
      <x:c r="E19" s="28"/>
      <x:c r="F19" s="28" t="str"/>
      <x:c r="G19" s="28" t="str"/>
      <x:c r="H19" s="28" t="str"/>
      <x:c r="I19" s="28" t="str">
        <x:v>P1</x:v>
      </x:c>
      <x:c r="J19" s="28" t="str">
        <x:v>Identified</x:v>
      </x:c>
      <x:c r="K19" s="30"/>
      <x:c r="L19" s="30"/>
      <x:c r="M19" s="28" t="str"/>
      <x:c r="N19" s="28" t="str"/>
      <x:c r="O19" s="28"/>
      <x:c r="P19" s="28"/>
      <x:c r="Q19" s="28"/>
      <x:c r="R19" s="28"/>
      <x:c r="S19" s="28"/>
      <x:c r="T19" s="28"/>
      <x:c r="U19" s="28"/>
    </x:row>
    <x:row r="20">
      <x:c r="A20" s="28" t="str">
        <x:v>CAND-019</x:v>
      </x:c>
      <x:c r="B20" s="28" t="str"/>
      <x:c r="C20" s="28" t="str"/>
      <x:c r="D20" s="28" t="str"/>
      <x:c r="E20" s="28"/>
      <x:c r="F20" s="28" t="str"/>
      <x:c r="G20" s="28" t="str"/>
      <x:c r="H20" s="28" t="str"/>
      <x:c r="I20" s="28" t="str">
        <x:v>P1</x:v>
      </x:c>
      <x:c r="J20" s="28" t="str">
        <x:v>Identified</x:v>
      </x:c>
      <x:c r="K20" s="30"/>
      <x:c r="L20" s="30"/>
      <x:c r="M20" s="28" t="str"/>
      <x:c r="N20" s="28" t="str"/>
      <x:c r="O20" s="28"/>
      <x:c r="P20" s="28"/>
      <x:c r="Q20" s="28"/>
      <x:c r="R20" s="28"/>
      <x:c r="S20" s="28"/>
      <x:c r="T20" s="28"/>
      <x:c r="U20" s="28"/>
    </x:row>
    <x:row r="21">
      <x:c r="A21" s="28" t="str">
        <x:v>CAND-020</x:v>
      </x:c>
      <x:c r="B21" s="28" t="str"/>
      <x:c r="C21" s="28" t="str"/>
      <x:c r="D21" s="28" t="str"/>
      <x:c r="E21" s="28"/>
      <x:c r="F21" s="28" t="str"/>
      <x:c r="G21" s="28" t="str"/>
      <x:c r="H21" s="28" t="str"/>
      <x:c r="I21" s="28" t="str">
        <x:v>P1</x:v>
      </x:c>
      <x:c r="J21" s="28" t="str">
        <x:v>Identified</x:v>
      </x:c>
      <x:c r="K21" s="30"/>
      <x:c r="L21" s="30"/>
      <x:c r="M21" s="28" t="str"/>
      <x:c r="N21" s="28" t="str"/>
      <x:c r="O21" s="28"/>
      <x:c r="P21" s="28"/>
      <x:c r="Q21" s="28"/>
      <x:c r="R21" s="28"/>
      <x:c r="S21" s="28"/>
      <x:c r="T21" s="28"/>
      <x:c r="U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30"/>
      <x:c r="L22" s="30"/>
      <x:c r="M22" s="28"/>
      <x:c r="N22" s="28"/>
      <x:c r="O22" s="28"/>
      <x:c r="P22" s="28"/>
      <x:c r="Q22" s="28"/>
      <x:c r="R22" s="28"/>
      <x:c r="S22" s="28"/>
      <x:c r="T22" s="28"/>
      <x:c r="U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30"/>
      <x:c r="L23" s="30"/>
      <x:c r="M23" s="28"/>
      <x:c r="N23" s="28"/>
      <x:c r="O23" s="28"/>
      <x:c r="P23" s="28"/>
      <x:c r="Q23" s="28"/>
      <x:c r="R23" s="28"/>
      <x:c r="S23" s="28"/>
      <x:c r="T23" s="28"/>
      <x:c r="U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30"/>
      <x:c r="L24" s="30"/>
      <x:c r="M24" s="28"/>
      <x:c r="N24" s="28"/>
      <x:c r="O24" s="28"/>
      <x:c r="P24" s="28"/>
      <x:c r="Q24" s="28"/>
      <x:c r="R24" s="28"/>
      <x:c r="S24" s="28"/>
      <x:c r="T24" s="28"/>
      <x:c r="U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30"/>
      <x:c r="L25" s="30"/>
      <x:c r="M25" s="28"/>
      <x:c r="N25" s="28"/>
      <x:c r="O25" s="28"/>
      <x:c r="P25" s="28"/>
      <x:c r="Q25" s="28"/>
      <x:c r="R25" s="28"/>
      <x:c r="S25" s="28"/>
      <x:c r="T25" s="28"/>
      <x:c r="U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30"/>
      <x:c r="L26" s="30"/>
      <x:c r="M26" s="28"/>
      <x:c r="N26" s="28"/>
      <x:c r="O26" s="28"/>
      <x:c r="P26" s="28"/>
      <x:c r="Q26" s="28"/>
      <x:c r="R26" s="28"/>
      <x:c r="S26" s="28"/>
      <x:c r="T26" s="28"/>
      <x:c r="U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30"/>
      <x:c r="L27" s="30"/>
      <x:c r="M27" s="28"/>
      <x:c r="N27" s="28"/>
      <x:c r="O27" s="28"/>
      <x:c r="P27" s="28"/>
      <x:c r="Q27" s="28"/>
      <x:c r="R27" s="28"/>
      <x:c r="S27" s="28"/>
      <x:c r="T27" s="28"/>
      <x:c r="U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30"/>
      <x:c r="L28" s="30"/>
      <x:c r="M28" s="28"/>
      <x:c r="N28" s="28"/>
      <x:c r="O28" s="28"/>
      <x:c r="P28" s="28"/>
      <x:c r="Q28" s="28"/>
      <x:c r="R28" s="28"/>
      <x:c r="S28" s="28"/>
      <x:c r="T28" s="28"/>
      <x:c r="U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30"/>
      <x:c r="L29" s="30"/>
      <x:c r="M29" s="28"/>
      <x:c r="N29" s="28"/>
      <x:c r="O29" s="28"/>
      <x:c r="P29" s="28"/>
      <x:c r="Q29" s="28"/>
      <x:c r="R29" s="28"/>
      <x:c r="S29" s="28"/>
      <x:c r="T29" s="28"/>
      <x:c r="U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30"/>
      <x:c r="L30" s="30"/>
      <x:c r="M30" s="28"/>
      <x:c r="N30" s="28"/>
      <x:c r="O30" s="28"/>
      <x:c r="P30" s="28"/>
      <x:c r="Q30" s="28"/>
      <x:c r="R30" s="28"/>
      <x:c r="S30" s="28"/>
      <x:c r="T30" s="28"/>
      <x:c r="U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30"/>
      <x:c r="L31" s="30"/>
      <x:c r="M31" s="28"/>
      <x:c r="N31" s="28"/>
      <x:c r="O31" s="28"/>
      <x:c r="P31" s="28"/>
      <x:c r="Q31" s="28"/>
      <x:c r="R31" s="28"/>
      <x:c r="S31" s="28"/>
      <x:c r="T31" s="28"/>
      <x:c r="U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30"/>
      <x:c r="L32" s="30"/>
      <x:c r="M32" s="28"/>
      <x:c r="N32" s="28"/>
      <x:c r="O32" s="28"/>
      <x:c r="P32" s="28"/>
      <x:c r="Q32" s="28"/>
      <x:c r="R32" s="28"/>
      <x:c r="S32" s="28"/>
      <x:c r="T32" s="28"/>
      <x:c r="U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30"/>
      <x:c r="L33" s="30"/>
      <x:c r="M33" s="28"/>
      <x:c r="N33" s="28"/>
      <x:c r="O33" s="28"/>
      <x:c r="P33" s="28"/>
      <x:c r="Q33" s="28"/>
      <x:c r="R33" s="28"/>
      <x:c r="S33" s="28"/>
      <x:c r="T33" s="28"/>
      <x:c r="U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30"/>
      <x:c r="L34" s="30"/>
      <x:c r="M34" s="28"/>
      <x:c r="N34" s="28"/>
      <x:c r="O34" s="28"/>
      <x:c r="P34" s="28"/>
      <x:c r="Q34" s="28"/>
      <x:c r="R34" s="28"/>
      <x:c r="S34" s="28"/>
      <x:c r="T34" s="28"/>
      <x:c r="U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30"/>
      <x:c r="L35" s="30"/>
      <x:c r="M35" s="28"/>
      <x:c r="N35" s="28"/>
      <x:c r="O35" s="28"/>
      <x:c r="P35" s="28"/>
      <x:c r="Q35" s="28"/>
      <x:c r="R35" s="28"/>
      <x:c r="S35" s="28"/>
      <x:c r="T35" s="28"/>
      <x:c r="U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30"/>
      <x:c r="L36" s="30"/>
      <x:c r="M36" s="28"/>
      <x:c r="N36" s="28"/>
      <x:c r="O36" s="28"/>
      <x:c r="P36" s="28"/>
      <x:c r="Q36" s="28"/>
      <x:c r="R36" s="28"/>
      <x:c r="S36" s="28"/>
      <x:c r="T36" s="28"/>
      <x:c r="U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30"/>
      <x:c r="L37" s="30"/>
      <x:c r="M37" s="28"/>
      <x:c r="N37" s="28"/>
      <x:c r="O37" s="28"/>
      <x:c r="P37" s="28"/>
      <x:c r="Q37" s="28"/>
      <x:c r="R37" s="28"/>
      <x:c r="S37" s="28"/>
      <x:c r="T37" s="28"/>
      <x:c r="U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30"/>
      <x:c r="L38" s="30"/>
      <x:c r="M38" s="28"/>
      <x:c r="N38" s="28"/>
      <x:c r="O38" s="28"/>
      <x:c r="P38" s="28"/>
      <x:c r="Q38" s="28"/>
      <x:c r="R38" s="28"/>
      <x:c r="S38" s="28"/>
      <x:c r="T38" s="28"/>
      <x:c r="U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30"/>
      <x:c r="L39" s="30"/>
      <x:c r="M39" s="28"/>
      <x:c r="N39" s="28"/>
      <x:c r="O39" s="28"/>
      <x:c r="P39" s="28"/>
      <x:c r="Q39" s="28"/>
      <x:c r="R39" s="28"/>
      <x:c r="S39" s="28"/>
      <x:c r="T39" s="28"/>
      <x:c r="U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30"/>
      <x:c r="L40" s="30"/>
      <x:c r="M40" s="28"/>
      <x:c r="N40" s="28"/>
      <x:c r="O40" s="28"/>
      <x:c r="P40" s="28"/>
      <x:c r="Q40" s="28"/>
      <x:c r="R40" s="28"/>
      <x:c r="S40" s="28"/>
      <x:c r="T40" s="28"/>
      <x:c r="U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30"/>
      <x:c r="L41" s="30"/>
      <x:c r="M41" s="28"/>
      <x:c r="N41" s="28"/>
      <x:c r="O41" s="28"/>
      <x:c r="P41" s="28"/>
      <x:c r="Q41" s="28"/>
      <x:c r="R41" s="28"/>
      <x:c r="S41" s="28"/>
      <x:c r="T41" s="28"/>
      <x:c r="U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30"/>
      <x:c r="L42" s="30"/>
      <x:c r="M42" s="28"/>
      <x:c r="N42" s="28"/>
      <x:c r="O42" s="28"/>
      <x:c r="P42" s="28"/>
      <x:c r="Q42" s="28"/>
      <x:c r="R42" s="28"/>
      <x:c r="S42" s="28"/>
      <x:c r="T42" s="28"/>
      <x:c r="U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30"/>
      <x:c r="L43" s="30"/>
      <x:c r="M43" s="28"/>
      <x:c r="N43" s="28"/>
      <x:c r="O43" s="28"/>
      <x:c r="P43" s="28"/>
      <x:c r="Q43" s="28"/>
      <x:c r="R43" s="28"/>
      <x:c r="S43" s="28"/>
      <x:c r="T43" s="28"/>
      <x:c r="U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30"/>
      <x:c r="L44" s="30"/>
      <x:c r="M44" s="28"/>
      <x:c r="N44" s="28"/>
      <x:c r="O44" s="28"/>
      <x:c r="P44" s="28"/>
      <x:c r="Q44" s="28"/>
      <x:c r="R44" s="28"/>
      <x:c r="S44" s="28"/>
      <x:c r="T44" s="28"/>
      <x:c r="U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30"/>
      <x:c r="L45" s="30"/>
      <x:c r="M45" s="28"/>
      <x:c r="N45" s="28"/>
      <x:c r="O45" s="28"/>
      <x:c r="P45" s="28"/>
      <x:c r="Q45" s="28"/>
      <x:c r="R45" s="28"/>
      <x:c r="S45" s="28"/>
      <x:c r="T45" s="28"/>
      <x:c r="U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30"/>
      <x:c r="L46" s="30"/>
      <x:c r="M46" s="28"/>
      <x:c r="N46" s="28"/>
      <x:c r="O46" s="28"/>
      <x:c r="P46" s="28"/>
      <x:c r="Q46" s="28"/>
      <x:c r="R46" s="28"/>
      <x:c r="S46" s="28"/>
      <x:c r="T46" s="28"/>
      <x:c r="U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30"/>
      <x:c r="L47" s="30"/>
      <x:c r="M47" s="28"/>
      <x:c r="N47" s="28"/>
      <x:c r="O47" s="28"/>
      <x:c r="P47" s="28"/>
      <x:c r="Q47" s="28"/>
      <x:c r="R47" s="28"/>
      <x:c r="S47" s="28"/>
      <x:c r="T47" s="28"/>
      <x:c r="U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30"/>
      <x:c r="L48" s="30"/>
      <x:c r="M48" s="28"/>
      <x:c r="N48" s="28"/>
      <x:c r="O48" s="28"/>
      <x:c r="P48" s="28"/>
      <x:c r="Q48" s="28"/>
      <x:c r="R48" s="28"/>
      <x:c r="S48" s="28"/>
      <x:c r="T48" s="28"/>
      <x:c r="U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30"/>
      <x:c r="L49" s="30"/>
      <x:c r="M49" s="28"/>
      <x:c r="N49" s="28"/>
      <x:c r="O49" s="28"/>
      <x:c r="P49" s="28"/>
      <x:c r="Q49" s="28"/>
      <x:c r="R49" s="28"/>
      <x:c r="S49" s="28"/>
      <x:c r="T49" s="28"/>
      <x:c r="U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30"/>
      <x:c r="L50" s="30"/>
      <x:c r="M50" s="28"/>
      <x:c r="N50" s="28"/>
      <x:c r="O50" s="28"/>
      <x:c r="P50" s="28"/>
      <x:c r="Q50" s="28"/>
      <x:c r="R50" s="28"/>
      <x:c r="S50" s="28"/>
      <x:c r="T50" s="28"/>
      <x:c r="U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30"/>
      <x:c r="L51" s="30"/>
      <x:c r="M51" s="28"/>
      <x:c r="N51" s="28"/>
      <x:c r="O51" s="28"/>
      <x:c r="P51" s="28"/>
      <x:c r="Q51" s="28"/>
      <x:c r="R51" s="28"/>
      <x:c r="S51" s="28"/>
      <x:c r="T51" s="28"/>
      <x:c r="U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30"/>
      <x:c r="L52" s="30"/>
      <x:c r="M52" s="28"/>
      <x:c r="N52" s="28"/>
      <x:c r="O52" s="28"/>
      <x:c r="P52" s="28"/>
      <x:c r="Q52" s="28"/>
      <x:c r="R52" s="28"/>
      <x:c r="S52" s="28"/>
      <x:c r="T52" s="28"/>
      <x:c r="U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30"/>
      <x:c r="L53" s="30"/>
      <x:c r="M53" s="28"/>
      <x:c r="N53" s="28"/>
      <x:c r="O53" s="28"/>
      <x:c r="P53" s="28"/>
      <x:c r="Q53" s="28"/>
      <x:c r="R53" s="28"/>
      <x:c r="S53" s="28"/>
      <x:c r="T53" s="28"/>
      <x:c r="U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30"/>
      <x:c r="L54" s="30"/>
      <x:c r="M54" s="28"/>
      <x:c r="N54" s="28"/>
      <x:c r="O54" s="28"/>
      <x:c r="P54" s="28"/>
      <x:c r="Q54" s="28"/>
      <x:c r="R54" s="28"/>
      <x:c r="S54" s="28"/>
      <x:c r="T54" s="28"/>
      <x:c r="U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30"/>
      <x:c r="L55" s="30"/>
      <x:c r="M55" s="28"/>
      <x:c r="N55" s="28"/>
      <x:c r="O55" s="28"/>
      <x:c r="P55" s="28"/>
      <x:c r="Q55" s="28"/>
      <x:c r="R55" s="28"/>
      <x:c r="S55" s="28"/>
      <x:c r="T55" s="28"/>
      <x:c r="U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30"/>
      <x:c r="L56" s="30"/>
      <x:c r="M56" s="28"/>
      <x:c r="N56" s="28"/>
      <x:c r="O56" s="28"/>
      <x:c r="P56" s="28"/>
      <x:c r="Q56" s="28"/>
      <x:c r="R56" s="28"/>
      <x:c r="S56" s="28"/>
      <x:c r="T56" s="28"/>
      <x:c r="U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30"/>
      <x:c r="L57" s="30"/>
      <x:c r="M57" s="28"/>
      <x:c r="N57" s="28"/>
      <x:c r="O57" s="28"/>
      <x:c r="P57" s="28"/>
      <x:c r="Q57" s="28"/>
      <x:c r="R57" s="28"/>
      <x:c r="S57" s="28"/>
      <x:c r="T57" s="28"/>
      <x:c r="U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30"/>
      <x:c r="L58" s="30"/>
      <x:c r="M58" s="28"/>
      <x:c r="N58" s="28"/>
      <x:c r="O58" s="28"/>
      <x:c r="P58" s="28"/>
      <x:c r="Q58" s="28"/>
      <x:c r="R58" s="28"/>
      <x:c r="S58" s="28"/>
      <x:c r="T58" s="28"/>
      <x:c r="U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30"/>
      <x:c r="L59" s="30"/>
      <x:c r="M59" s="28"/>
      <x:c r="N59" s="28"/>
      <x:c r="O59" s="28"/>
      <x:c r="P59" s="28"/>
      <x:c r="Q59" s="28"/>
      <x:c r="R59" s="28"/>
      <x:c r="S59" s="28"/>
      <x:c r="T59" s="28"/>
      <x:c r="U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30"/>
      <x:c r="L60" s="30"/>
      <x:c r="M60" s="28"/>
      <x:c r="N60" s="28"/>
      <x:c r="O60" s="28"/>
      <x:c r="P60" s="28"/>
      <x:c r="Q60" s="28"/>
      <x:c r="R60" s="28"/>
      <x:c r="S60" s="28"/>
      <x:c r="T60" s="28"/>
      <x:c r="U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30"/>
      <x:c r="L61" s="30"/>
      <x:c r="M61" s="28"/>
      <x:c r="N61" s="28"/>
      <x:c r="O61" s="28"/>
      <x:c r="P61" s="28"/>
      <x:c r="Q61" s="28"/>
      <x:c r="R61" s="28"/>
      <x:c r="S61" s="28"/>
      <x:c r="T61" s="28"/>
      <x:c r="U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30"/>
      <x:c r="L62" s="30"/>
      <x:c r="M62" s="28"/>
      <x:c r="N62" s="28"/>
      <x:c r="O62" s="28"/>
      <x:c r="P62" s="28"/>
      <x:c r="Q62" s="28"/>
      <x:c r="R62" s="28"/>
      <x:c r="S62" s="28"/>
      <x:c r="T62" s="28"/>
      <x:c r="U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30"/>
      <x:c r="L63" s="30"/>
      <x:c r="M63" s="28"/>
      <x:c r="N63" s="28"/>
      <x:c r="O63" s="28"/>
      <x:c r="P63" s="28"/>
      <x:c r="Q63" s="28"/>
      <x:c r="R63" s="28"/>
      <x:c r="S63" s="28"/>
      <x:c r="T63" s="28"/>
      <x:c r="U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30"/>
      <x:c r="L64" s="30"/>
      <x:c r="M64" s="28"/>
      <x:c r="N64" s="28"/>
      <x:c r="O64" s="28"/>
      <x:c r="P64" s="28"/>
      <x:c r="Q64" s="28"/>
      <x:c r="R64" s="28"/>
      <x:c r="S64" s="28"/>
      <x:c r="T64" s="28"/>
      <x:c r="U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30"/>
      <x:c r="L65" s="30"/>
      <x:c r="M65" s="28"/>
      <x:c r="N65" s="28"/>
      <x:c r="O65" s="28"/>
      <x:c r="P65" s="28"/>
      <x:c r="Q65" s="28"/>
      <x:c r="R65" s="28"/>
      <x:c r="S65" s="28"/>
      <x:c r="T65" s="28"/>
      <x:c r="U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30"/>
      <x:c r="L66" s="30"/>
      <x:c r="M66" s="28"/>
      <x:c r="N66" s="28"/>
      <x:c r="O66" s="28"/>
      <x:c r="P66" s="28"/>
      <x:c r="Q66" s="28"/>
      <x:c r="R66" s="28"/>
      <x:c r="S66" s="28"/>
      <x:c r="T66" s="28"/>
      <x:c r="U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30"/>
      <x:c r="L67" s="30"/>
      <x:c r="M67" s="28"/>
      <x:c r="N67" s="28"/>
      <x:c r="O67" s="28"/>
      <x:c r="P67" s="28"/>
      <x:c r="Q67" s="28"/>
      <x:c r="R67" s="28"/>
      <x:c r="S67" s="28"/>
      <x:c r="T67" s="28"/>
      <x:c r="U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30"/>
      <x:c r="L68" s="30"/>
      <x:c r="M68" s="28"/>
      <x:c r="N68" s="28"/>
      <x:c r="O68" s="28"/>
      <x:c r="P68" s="28"/>
      <x:c r="Q68" s="28"/>
      <x:c r="R68" s="28"/>
      <x:c r="S68" s="28"/>
      <x:c r="T68" s="28"/>
      <x:c r="U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30"/>
      <x:c r="L69" s="30"/>
      <x:c r="M69" s="28"/>
      <x:c r="N69" s="28"/>
      <x:c r="O69" s="28"/>
      <x:c r="P69" s="28"/>
      <x:c r="Q69" s="28"/>
      <x:c r="R69" s="28"/>
      <x:c r="S69" s="28"/>
      <x:c r="T69" s="28"/>
      <x:c r="U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30"/>
      <x:c r="L70" s="30"/>
      <x:c r="M70" s="28"/>
      <x:c r="N70" s="28"/>
      <x:c r="O70" s="28"/>
      <x:c r="P70" s="28"/>
      <x:c r="Q70" s="28"/>
      <x:c r="R70" s="28"/>
      <x:c r="S70" s="28"/>
      <x:c r="T70" s="28"/>
      <x:c r="U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30"/>
      <x:c r="L71" s="30"/>
      <x:c r="M71" s="28"/>
      <x:c r="N71" s="28"/>
      <x:c r="O71" s="28"/>
      <x:c r="P71" s="28"/>
      <x:c r="Q71" s="28"/>
      <x:c r="R71" s="28"/>
      <x:c r="S71" s="28"/>
      <x:c r="T71" s="28"/>
      <x:c r="U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30"/>
      <x:c r="L72" s="30"/>
      <x:c r="M72" s="28"/>
      <x:c r="N72" s="28"/>
      <x:c r="O72" s="28"/>
      <x:c r="P72" s="28"/>
      <x:c r="Q72" s="28"/>
      <x:c r="R72" s="28"/>
      <x:c r="S72" s="28"/>
      <x:c r="T72" s="28"/>
      <x:c r="U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30"/>
      <x:c r="L73" s="30"/>
      <x:c r="M73" s="28"/>
      <x:c r="N73" s="28"/>
      <x:c r="O73" s="28"/>
      <x:c r="P73" s="28"/>
      <x:c r="Q73" s="28"/>
      <x:c r="R73" s="28"/>
      <x:c r="S73" s="28"/>
      <x:c r="T73" s="28"/>
      <x:c r="U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30"/>
      <x:c r="L74" s="30"/>
      <x:c r="M74" s="28"/>
      <x:c r="N74" s="28"/>
      <x:c r="O74" s="28"/>
      <x:c r="P74" s="28"/>
      <x:c r="Q74" s="28"/>
      <x:c r="R74" s="28"/>
      <x:c r="S74" s="28"/>
      <x:c r="T74" s="28"/>
      <x:c r="U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30"/>
      <x:c r="L75" s="30"/>
      <x:c r="M75" s="28"/>
      <x:c r="N75" s="28"/>
      <x:c r="O75" s="28"/>
      <x:c r="P75" s="28"/>
      <x:c r="Q75" s="28"/>
      <x:c r="R75" s="28"/>
      <x:c r="S75" s="28"/>
      <x:c r="T75" s="28"/>
      <x:c r="U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30"/>
      <x:c r="L76" s="30"/>
      <x:c r="M76" s="28"/>
      <x:c r="N76" s="28"/>
      <x:c r="O76" s="28"/>
      <x:c r="P76" s="28"/>
      <x:c r="Q76" s="28"/>
      <x:c r="R76" s="28"/>
      <x:c r="S76" s="28"/>
      <x:c r="T76" s="28"/>
      <x:c r="U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30"/>
      <x:c r="L77" s="30"/>
      <x:c r="M77" s="28"/>
      <x:c r="N77" s="28"/>
      <x:c r="O77" s="28"/>
      <x:c r="P77" s="28"/>
      <x:c r="Q77" s="28"/>
      <x:c r="R77" s="28"/>
      <x:c r="S77" s="28"/>
      <x:c r="T77" s="28"/>
      <x:c r="U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30"/>
      <x:c r="L78" s="30"/>
      <x:c r="M78" s="28"/>
      <x:c r="N78" s="28"/>
      <x:c r="O78" s="28"/>
      <x:c r="P78" s="28"/>
      <x:c r="Q78" s="28"/>
      <x:c r="R78" s="28"/>
      <x:c r="S78" s="28"/>
      <x:c r="T78" s="28"/>
      <x:c r="U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30"/>
      <x:c r="L79" s="30"/>
      <x:c r="M79" s="28"/>
      <x:c r="N79" s="28"/>
      <x:c r="O79" s="28"/>
      <x:c r="P79" s="28"/>
      <x:c r="Q79" s="28"/>
      <x:c r="R79" s="28"/>
      <x:c r="S79" s="28"/>
      <x:c r="T79" s="28"/>
      <x:c r="U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30"/>
      <x:c r="L80" s="30"/>
      <x:c r="M80" s="28"/>
      <x:c r="N80" s="28"/>
      <x:c r="O80" s="28"/>
      <x:c r="P80" s="28"/>
      <x:c r="Q80" s="28"/>
      <x:c r="R80" s="28"/>
      <x:c r="S80" s="28"/>
      <x:c r="T80" s="28"/>
      <x:c r="U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30"/>
      <x:c r="L81" s="30"/>
      <x:c r="M81" s="28"/>
      <x:c r="N81" s="28"/>
      <x:c r="O81" s="28"/>
      <x:c r="P81" s="28"/>
      <x:c r="Q81" s="28"/>
      <x:c r="R81" s="28"/>
      <x:c r="S81" s="28"/>
      <x:c r="T81" s="28"/>
      <x:c r="U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30"/>
      <x:c r="L82" s="30"/>
      <x:c r="M82" s="28"/>
      <x:c r="N82" s="28"/>
      <x:c r="O82" s="28"/>
      <x:c r="P82" s="28"/>
      <x:c r="Q82" s="28"/>
      <x:c r="R82" s="28"/>
      <x:c r="S82" s="28"/>
      <x:c r="T82" s="28"/>
      <x:c r="U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30"/>
      <x:c r="L83" s="30"/>
      <x:c r="M83" s="28"/>
      <x:c r="N83" s="28"/>
      <x:c r="O83" s="28"/>
      <x:c r="P83" s="28"/>
      <x:c r="Q83" s="28"/>
      <x:c r="R83" s="28"/>
      <x:c r="S83" s="28"/>
      <x:c r="T83" s="28"/>
      <x:c r="U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30"/>
      <x:c r="L84" s="30"/>
      <x:c r="M84" s="28"/>
      <x:c r="N84" s="28"/>
      <x:c r="O84" s="28"/>
      <x:c r="P84" s="28"/>
      <x:c r="Q84" s="28"/>
      <x:c r="R84" s="28"/>
      <x:c r="S84" s="28"/>
      <x:c r="T84" s="28"/>
      <x:c r="U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30"/>
      <x:c r="L85" s="30"/>
      <x:c r="M85" s="28"/>
      <x:c r="N85" s="28"/>
      <x:c r="O85" s="28"/>
      <x:c r="P85" s="28"/>
      <x:c r="Q85" s="28"/>
      <x:c r="R85" s="28"/>
      <x:c r="S85" s="28"/>
      <x:c r="T85" s="28"/>
      <x:c r="U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30"/>
      <x:c r="L86" s="30"/>
      <x:c r="M86" s="28"/>
      <x:c r="N86" s="28"/>
      <x:c r="O86" s="28"/>
      <x:c r="P86" s="28"/>
      <x:c r="Q86" s="28"/>
      <x:c r="R86" s="28"/>
      <x:c r="S86" s="28"/>
      <x:c r="T86" s="28"/>
      <x:c r="U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30"/>
      <x:c r="L87" s="30"/>
      <x:c r="M87" s="28"/>
      <x:c r="N87" s="28"/>
      <x:c r="O87" s="28"/>
      <x:c r="P87" s="28"/>
      <x:c r="Q87" s="28"/>
      <x:c r="R87" s="28"/>
      <x:c r="S87" s="28"/>
      <x:c r="T87" s="28"/>
      <x:c r="U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30"/>
      <x:c r="L88" s="30"/>
      <x:c r="M88" s="28"/>
      <x:c r="N88" s="28"/>
      <x:c r="O88" s="28"/>
      <x:c r="P88" s="28"/>
      <x:c r="Q88" s="28"/>
      <x:c r="R88" s="28"/>
      <x:c r="S88" s="28"/>
      <x:c r="T88" s="28"/>
      <x:c r="U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30"/>
      <x:c r="L89" s="30"/>
      <x:c r="M89" s="28"/>
      <x:c r="N89" s="28"/>
      <x:c r="O89" s="28"/>
      <x:c r="P89" s="28"/>
      <x:c r="Q89" s="28"/>
      <x:c r="R89" s="28"/>
      <x:c r="S89" s="28"/>
      <x:c r="T89" s="28"/>
      <x:c r="U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30"/>
      <x:c r="L90" s="30"/>
      <x:c r="M90" s="28"/>
      <x:c r="N90" s="28"/>
      <x:c r="O90" s="28"/>
      <x:c r="P90" s="28"/>
      <x:c r="Q90" s="28"/>
      <x:c r="R90" s="28"/>
      <x:c r="S90" s="28"/>
      <x:c r="T90" s="28"/>
      <x:c r="U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30"/>
      <x:c r="L91" s="30"/>
      <x:c r="M91" s="28"/>
      <x:c r="N91" s="28"/>
      <x:c r="O91" s="28"/>
      <x:c r="P91" s="28"/>
      <x:c r="Q91" s="28"/>
      <x:c r="R91" s="28"/>
      <x:c r="S91" s="28"/>
      <x:c r="T91" s="28"/>
      <x:c r="U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30"/>
      <x:c r="L92" s="30"/>
      <x:c r="M92" s="28"/>
      <x:c r="N92" s="28"/>
      <x:c r="O92" s="28"/>
      <x:c r="P92" s="28"/>
      <x:c r="Q92" s="28"/>
      <x:c r="R92" s="28"/>
      <x:c r="S92" s="28"/>
      <x:c r="T92" s="28"/>
      <x:c r="U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30"/>
      <x:c r="L93" s="30"/>
      <x:c r="M93" s="28"/>
      <x:c r="N93" s="28"/>
      <x:c r="O93" s="28"/>
      <x:c r="P93" s="28"/>
      <x:c r="Q93" s="28"/>
      <x:c r="R93" s="28"/>
      <x:c r="S93" s="28"/>
      <x:c r="T93" s="28"/>
      <x:c r="U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30"/>
      <x:c r="L94" s="30"/>
      <x:c r="M94" s="28"/>
      <x:c r="N94" s="28"/>
      <x:c r="O94" s="28"/>
      <x:c r="P94" s="28"/>
      <x:c r="Q94" s="28"/>
      <x:c r="R94" s="28"/>
      <x:c r="S94" s="28"/>
      <x:c r="T94" s="28"/>
      <x:c r="U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30"/>
      <x:c r="L95" s="30"/>
      <x:c r="M95" s="28"/>
      <x:c r="N95" s="28"/>
      <x:c r="O95" s="28"/>
      <x:c r="P95" s="28"/>
      <x:c r="Q95" s="28"/>
      <x:c r="R95" s="28"/>
      <x:c r="S95" s="28"/>
      <x:c r="T95" s="28"/>
      <x:c r="U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30"/>
      <x:c r="L96" s="30"/>
      <x:c r="M96" s="28"/>
      <x:c r="N96" s="28"/>
      <x:c r="O96" s="28"/>
      <x:c r="P96" s="28"/>
      <x:c r="Q96" s="28"/>
      <x:c r="R96" s="28"/>
      <x:c r="S96" s="28"/>
      <x:c r="T96" s="28"/>
      <x:c r="U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30"/>
      <x:c r="L97" s="30"/>
      <x:c r="M97" s="28"/>
      <x:c r="N97" s="28"/>
      <x:c r="O97" s="28"/>
      <x:c r="P97" s="28"/>
      <x:c r="Q97" s="28"/>
      <x:c r="R97" s="28"/>
      <x:c r="S97" s="28"/>
      <x:c r="T97" s="28"/>
      <x:c r="U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30"/>
      <x:c r="L98" s="30"/>
      <x:c r="M98" s="28"/>
      <x:c r="N98" s="28"/>
      <x:c r="O98" s="28"/>
      <x:c r="P98" s="28"/>
      <x:c r="Q98" s="28"/>
      <x:c r="R98" s="28"/>
      <x:c r="S98" s="28"/>
      <x:c r="T98" s="28"/>
      <x:c r="U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30"/>
      <x:c r="L99" s="30"/>
      <x:c r="M99" s="28"/>
      <x:c r="N99" s="28"/>
      <x:c r="O99" s="28"/>
      <x:c r="P99" s="28"/>
      <x:c r="Q99" s="28"/>
      <x:c r="R99" s="28"/>
      <x:c r="S99" s="28"/>
      <x:c r="T99" s="28"/>
      <x:c r="U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30"/>
      <x:c r="L100" s="30"/>
      <x:c r="M100" s="28"/>
      <x:c r="N100" s="28"/>
      <x:c r="O100" s="28"/>
      <x:c r="P100" s="28"/>
      <x:c r="Q100" s="28"/>
      <x:c r="R100" s="28"/>
      <x:c r="S100" s="28"/>
      <x:c r="T100" s="28"/>
      <x:c r="U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</x:row>
  </x:sheetData>
  <x:conditionalFormatting sqref="J2:J100">
    <x:cfRule type="expression" dxfId="0" priority="1">
      <x:formula>J2="Completed"</x:formula>
    </x:cfRule>
    <x:cfRule type="expression" dxfId="1" priority="2">
      <x:formula>J2="Scheduled"</x:formula>
    </x:cfRule>
  </x:conditionalFormatting>
  <x:dataValidations count="4">
    <x:dataValidation type="list" sqref="D2:D100">
      <x:formula1>"Yes,No,Unknown"</x:formula1>
    </x:dataValidation>
    <x:dataValidation type="list" sqref="F2:G100">
      <x:formula1>"Yes,No,Unknown"</x:formula1>
    </x:dataValidation>
    <x:dataValidation type="list" sqref="I2:I100">
      <x:formula1>"P0,P1,P2"</x:formula1>
    </x:dataValidation>
    <x:dataValidation type="list" sqref="J2:J100">
      <x:formula1>"Identified,Contacted,Replied,Screened,Scheduled,Completed,Declined,Disqualified"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c4cc1682dc4d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22" hidden="0" customWidth="1"/>
    <x:col min="6" max="6" width="18" hidden="0" customWidth="1"/>
    <x:col min="7" max="7" width="12" hidden="0" customWidth="1"/>
    <x:col min="8" max="8" width="20" hidden="0" customWidth="1"/>
    <x:col min="9" max="9" width="28" hidden="0" customWidth="1"/>
    <x:col min="10" max="10" width="15" hidden="0" customWidth="1"/>
    <x:col min="11" max="11" width="14" hidden="0" customWidth="1"/>
    <x:col min="12" max="12" width="15" hidden="0" customWidth="1"/>
    <x:col min="13" max="13" width="22" hidden="0" customWidth="1"/>
    <x:col min="14" max="14" width="24" hidden="0" customWidth="1"/>
    <x:col min="15" max="15" width="22" hidden="0" customWidth="1"/>
    <x:col min="16" max="16" width="18" hidden="0" customWidth="1"/>
    <x:col min="17" max="17" width="22" hidden="0" customWidth="1"/>
    <x:col min="18" max="18" width="24" hidden="0" customWidth="1"/>
    <x:col min="19" max="19" width="38" hidden="0" customWidth="1"/>
    <x:col min="20" max="20" width="34" hidden="0" customWidth="1"/>
    <x:col min="21" max="21" width="18" hidden="0" customWidth="1"/>
  </x:cols>
  <x:sheetData>
    <x:row r="1">
      <x:c r="A1" s="6" t="str">
        <x:v>Interview ID</x:v>
      </x:c>
      <x:c r="B1" s="6" t="str">
        <x:v>Candidate ID</x:v>
      </x:c>
      <x:c r="C1" s="6" t="str">
        <x:v>Organization ID</x:v>
      </x:c>
      <x:c r="D1" s="6" t="str">
        <x:v>Interview Date</x:v>
      </x:c>
      <x:c r="E1" s="6" t="str">
        <x:v>Role</x:v>
      </x:c>
      <x:c r="F1" s="6" t="str">
        <x:v>Interview Type</x:v>
      </x:c>
      <x:c r="G1" s="6" t="str">
        <x:v>Completed?</x:v>
      </x:c>
      <x:c r="H1" s="6" t="str">
        <x:v>Recording Consent</x:v>
      </x:c>
      <x:c r="I1" s="6" t="str">
        <x:v>Source Document Status</x:v>
      </x:c>
      <x:c r="J1" s="6" t="str">
        <x:v>Monthly Volume</x:v>
      </x:c>
      <x:c r="K1" s="6" t="str">
        <x:v>Countries Count</x:v>
      </x:c>
      <x:c r="L1" s="6" t="str">
        <x:v>Currencies Count</x:v>
      </x:c>
      <x:c r="M1" s="6" t="str">
        <x:v>Languages/Scripts</x:v>
      </x:c>
      <x:c r="N1" s="6" t="str">
        <x:v>Downstream System</x:v>
      </x:c>
      <x:c r="O1" s="6" t="str">
        <x:v>Reviewed Export Useful?</x:v>
      </x:c>
      <x:c r="P1" s="6" t="str">
        <x:v>Pilot Willingness</x:v>
      </x:c>
      <x:c r="Q1" s="6" t="str">
        <x:v>Permissioned Docs Later?</x:v>
      </x:c>
      <x:c r="R1" s="6" t="str">
        <x:v>Willingness-to-Pay Signal</x:v>
      </x:c>
      <x:c r="S1" s="6" t="str">
        <x:v>Privacy Constraints</x:v>
      </x:c>
      <x:c r="T1" s="6" t="str">
        <x:v>Notes File/Link</x:v>
      </x:c>
      <x:c r="U1" s="6" t="str">
        <x:v>Unique Completed Org Flag</x:v>
      </x:c>
    </x:row>
    <x:row r="2">
      <x:c r="A2" s="28" t="str">
        <x:v>INT-001</x:v>
      </x:c>
      <x:c r="B2" s="28" t="str"/>
      <x:c r="C2" s="28" t="str"/>
      <x:c r="D2" s="30"/>
      <x:c r="E2" s="28" t="str"/>
      <x:c r="F2" s="28" t="str">
        <x:v>Operator</x:v>
      </x:c>
      <x:c r="G2" s="28" t="str">
        <x:v>No</x:v>
      </x:c>
      <x:c r="H2" s="28" t="str">
        <x:v>Notes only</x:v>
      </x:c>
      <x:c r="I2" s="28" t="str">
        <x:v>No source document viewed</x:v>
      </x:c>
      <x:c r="J2" s="28"/>
      <x:c r="K2" s="28"/>
      <x:c r="L2" s="28"/>
      <x:c r="M2" s="28" t="str"/>
      <x:c r="N2" s="28" t="str"/>
      <x:c r="O2" s="28" t="str">
        <x:v>Unknown</x:v>
      </x:c>
      <x:c r="P2" s="28" t="str">
        <x:v>Unknown</x:v>
      </x:c>
      <x:c r="Q2" s="28" t="str">
        <x:v>Unknown</x:v>
      </x:c>
      <x:c r="R2" s="28" t="str">
        <x:v>Unknown</x:v>
      </x:c>
      <x:c r="S2" s="28" t="str"/>
      <x:c r="T2" s="28" t="str"/>
      <x:c r="U2" s="28" t="n">
        <x:f>IF(AND(G2="Yes",C2&lt;&gt;""),IF(COUNTIFS($C$2:C2,C2,$G$2:G2,"Yes")=1,1,0),0)</x:f>
        <x:v>0</x:v>
      </x:c>
    </x:row>
    <x:row r="3">
      <x:c r="A3" s="28" t="str">
        <x:v>INT-002</x:v>
      </x:c>
      <x:c r="B3" s="28" t="str"/>
      <x:c r="C3" s="28" t="str"/>
      <x:c r="D3" s="30"/>
      <x:c r="E3" s="28" t="str"/>
      <x:c r="F3" s="28" t="str">
        <x:v>Operator</x:v>
      </x:c>
      <x:c r="G3" s="28" t="str">
        <x:v>No</x:v>
      </x:c>
      <x:c r="H3" s="28" t="str">
        <x:v>Notes only</x:v>
      </x:c>
      <x:c r="I3" s="28" t="str">
        <x:v>No source document viewed</x:v>
      </x:c>
      <x:c r="J3" s="28"/>
      <x:c r="K3" s="28"/>
      <x:c r="L3" s="28"/>
      <x:c r="M3" s="28" t="str"/>
      <x:c r="N3" s="28" t="str"/>
      <x:c r="O3" s="28" t="str">
        <x:v>Unknown</x:v>
      </x:c>
      <x:c r="P3" s="28" t="str">
        <x:v>Unknown</x:v>
      </x:c>
      <x:c r="Q3" s="28" t="str">
        <x:v>Unknown</x:v>
      </x:c>
      <x:c r="R3" s="28" t="str">
        <x:v>Unknown</x:v>
      </x:c>
      <x:c r="S3" s="28" t="str"/>
      <x:c r="T3" s="28" t="str"/>
      <x:c r="U3" s="28" t="n">
        <x:f>IF(AND(G3="Yes",C3&lt;&gt;""),IF(COUNTIFS($C$2:C3,C3,$G$2:G3,"Yes")=1,1,0),0)</x:f>
        <x:v>0</x:v>
      </x:c>
    </x:row>
    <x:row r="4">
      <x:c r="A4" s="28" t="str">
        <x:v>INT-003</x:v>
      </x:c>
      <x:c r="B4" s="28" t="str"/>
      <x:c r="C4" s="28" t="str"/>
      <x:c r="D4" s="30"/>
      <x:c r="E4" s="28" t="str"/>
      <x:c r="F4" s="28" t="str">
        <x:v>Operator</x:v>
      </x:c>
      <x:c r="G4" s="28" t="str">
        <x:v>No</x:v>
      </x:c>
      <x:c r="H4" s="28" t="str">
        <x:v>Notes only</x:v>
      </x:c>
      <x:c r="I4" s="28" t="str">
        <x:v>No source document viewed</x:v>
      </x:c>
      <x:c r="J4" s="28"/>
      <x:c r="K4" s="28"/>
      <x:c r="L4" s="28"/>
      <x:c r="M4" s="28" t="str"/>
      <x:c r="N4" s="28" t="str"/>
      <x:c r="O4" s="28" t="str">
        <x:v>Unknown</x:v>
      </x:c>
      <x:c r="P4" s="28" t="str">
        <x:v>Unknown</x:v>
      </x:c>
      <x:c r="Q4" s="28" t="str">
        <x:v>Unknown</x:v>
      </x:c>
      <x:c r="R4" s="28" t="str">
        <x:v>Unknown</x:v>
      </x:c>
      <x:c r="S4" s="28" t="str"/>
      <x:c r="T4" s="28" t="str"/>
      <x:c r="U4" s="28" t="n">
        <x:f>IF(AND(G4="Yes",C4&lt;&gt;""),IF(COUNTIFS($C$2:C4,C4,$G$2:G4,"Yes")=1,1,0),0)</x:f>
        <x:v>0</x:v>
      </x:c>
    </x:row>
    <x:row r="5">
      <x:c r="A5" s="28" t="str">
        <x:v>INT-004</x:v>
      </x:c>
      <x:c r="B5" s="28" t="str"/>
      <x:c r="C5" s="28" t="str"/>
      <x:c r="D5" s="30"/>
      <x:c r="E5" s="28" t="str"/>
      <x:c r="F5" s="28" t="str">
        <x:v>Operator</x:v>
      </x:c>
      <x:c r="G5" s="28" t="str">
        <x:v>No</x:v>
      </x:c>
      <x:c r="H5" s="28" t="str">
        <x:v>Notes only</x:v>
      </x:c>
      <x:c r="I5" s="28" t="str">
        <x:v>No source document viewed</x:v>
      </x:c>
      <x:c r="J5" s="28"/>
      <x:c r="K5" s="28"/>
      <x:c r="L5" s="28"/>
      <x:c r="M5" s="28" t="str"/>
      <x:c r="N5" s="28" t="str"/>
      <x:c r="O5" s="28" t="str">
        <x:v>Unknown</x:v>
      </x:c>
      <x:c r="P5" s="28" t="str">
        <x:v>Unknown</x:v>
      </x:c>
      <x:c r="Q5" s="28" t="str">
        <x:v>Unknown</x:v>
      </x:c>
      <x:c r="R5" s="28" t="str">
        <x:v>Unknown</x:v>
      </x:c>
      <x:c r="S5" s="28" t="str"/>
      <x:c r="T5" s="28" t="str"/>
      <x:c r="U5" s="28" t="n">
        <x:f>IF(AND(G5="Yes",C5&lt;&gt;""),IF(COUNTIFS($C$2:C5,C5,$G$2:G5,"Yes")=1,1,0),0)</x:f>
        <x:v>0</x:v>
      </x:c>
    </x:row>
    <x:row r="6">
      <x:c r="A6" s="28" t="str">
        <x:v>INT-005</x:v>
      </x:c>
      <x:c r="B6" s="28" t="str"/>
      <x:c r="C6" s="28" t="str"/>
      <x:c r="D6" s="30"/>
      <x:c r="E6" s="28" t="str"/>
      <x:c r="F6" s="28" t="str">
        <x:v>Operator</x:v>
      </x:c>
      <x:c r="G6" s="28" t="str">
        <x:v>No</x:v>
      </x:c>
      <x:c r="H6" s="28" t="str">
        <x:v>Notes only</x:v>
      </x:c>
      <x:c r="I6" s="28" t="str">
        <x:v>No source document viewed</x:v>
      </x:c>
      <x:c r="J6" s="28"/>
      <x:c r="K6" s="28"/>
      <x:c r="L6" s="28"/>
      <x:c r="M6" s="28" t="str"/>
      <x:c r="N6" s="28" t="str"/>
      <x:c r="O6" s="28" t="str">
        <x:v>Unknown</x:v>
      </x:c>
      <x:c r="P6" s="28" t="str">
        <x:v>Unknown</x:v>
      </x:c>
      <x:c r="Q6" s="28" t="str">
        <x:v>Unknown</x:v>
      </x:c>
      <x:c r="R6" s="28" t="str">
        <x:v>Unknown</x:v>
      </x:c>
      <x:c r="S6" s="28" t="str"/>
      <x:c r="T6" s="28" t="str"/>
      <x:c r="U6" s="28" t="n">
        <x:f>IF(AND(G6="Yes",C6&lt;&gt;""),IF(COUNTIFS($C$2:C6,C6,$G$2:G6,"Yes")=1,1,0),0)</x:f>
        <x:v>0</x:v>
      </x:c>
    </x:row>
    <x:row r="7">
      <x:c r="A7" s="28" t="str">
        <x:v>INT-006</x:v>
      </x:c>
      <x:c r="B7" s="28" t="str"/>
      <x:c r="C7" s="28" t="str"/>
      <x:c r="D7" s="30"/>
      <x:c r="E7" s="28" t="str"/>
      <x:c r="F7" s="28" t="str">
        <x:v>Operator</x:v>
      </x:c>
      <x:c r="G7" s="28" t="str">
        <x:v>No</x:v>
      </x:c>
      <x:c r="H7" s="28" t="str">
        <x:v>Notes only</x:v>
      </x:c>
      <x:c r="I7" s="28" t="str">
        <x:v>No source document viewed</x:v>
      </x:c>
      <x:c r="J7" s="28"/>
      <x:c r="K7" s="28"/>
      <x:c r="L7" s="28"/>
      <x:c r="M7" s="28" t="str"/>
      <x:c r="N7" s="28" t="str"/>
      <x:c r="O7" s="28" t="str">
        <x:v>Unknown</x:v>
      </x:c>
      <x:c r="P7" s="28" t="str">
        <x:v>Unknown</x:v>
      </x:c>
      <x:c r="Q7" s="28" t="str">
        <x:v>Unknown</x:v>
      </x:c>
      <x:c r="R7" s="28" t="str">
        <x:v>Unknown</x:v>
      </x:c>
      <x:c r="S7" s="28" t="str"/>
      <x:c r="T7" s="28" t="str"/>
      <x:c r="U7" s="28" t="n">
        <x:f>IF(AND(G7="Yes",C7&lt;&gt;""),IF(COUNTIFS($C$2:C7,C7,$G$2:G7,"Yes")=1,1,0),0)</x:f>
        <x:v>0</x:v>
      </x:c>
    </x:row>
    <x:row r="8">
      <x:c r="A8" s="28" t="str">
        <x:v>INT-007</x:v>
      </x:c>
      <x:c r="B8" s="28" t="str"/>
      <x:c r="C8" s="28" t="str"/>
      <x:c r="D8" s="30"/>
      <x:c r="E8" s="28" t="str"/>
      <x:c r="F8" s="28" t="str">
        <x:v>Operator</x:v>
      </x:c>
      <x:c r="G8" s="28" t="str">
        <x:v>No</x:v>
      </x:c>
      <x:c r="H8" s="28" t="str">
        <x:v>Notes only</x:v>
      </x:c>
      <x:c r="I8" s="28" t="str">
        <x:v>No source document viewed</x:v>
      </x:c>
      <x:c r="J8" s="28"/>
      <x:c r="K8" s="28"/>
      <x:c r="L8" s="28"/>
      <x:c r="M8" s="28" t="str"/>
      <x:c r="N8" s="28" t="str"/>
      <x:c r="O8" s="28" t="str">
        <x:v>Unknown</x:v>
      </x:c>
      <x:c r="P8" s="28" t="str">
        <x:v>Unknown</x:v>
      </x:c>
      <x:c r="Q8" s="28" t="str">
        <x:v>Unknown</x:v>
      </x:c>
      <x:c r="R8" s="28" t="str">
        <x:v>Unknown</x:v>
      </x:c>
      <x:c r="S8" s="28" t="str"/>
      <x:c r="T8" s="28" t="str"/>
      <x:c r="U8" s="28" t="n">
        <x:f>IF(AND(G8="Yes",C8&lt;&gt;""),IF(COUNTIFS($C$2:C8,C8,$G$2:G8,"Yes")=1,1,0),0)</x:f>
        <x:v>0</x:v>
      </x:c>
    </x:row>
    <x:row r="9">
      <x:c r="A9" s="28" t="str">
        <x:v>INT-008</x:v>
      </x:c>
      <x:c r="B9" s="28" t="str"/>
      <x:c r="C9" s="28" t="str"/>
      <x:c r="D9" s="30"/>
      <x:c r="E9" s="28" t="str"/>
      <x:c r="F9" s="28" t="str">
        <x:v>Operator</x:v>
      </x:c>
      <x:c r="G9" s="28" t="str">
        <x:v>No</x:v>
      </x:c>
      <x:c r="H9" s="28" t="str">
        <x:v>Notes only</x:v>
      </x:c>
      <x:c r="I9" s="28" t="str">
        <x:v>No source document viewed</x:v>
      </x:c>
      <x:c r="J9" s="28"/>
      <x:c r="K9" s="28"/>
      <x:c r="L9" s="28"/>
      <x:c r="M9" s="28" t="str"/>
      <x:c r="N9" s="28" t="str"/>
      <x:c r="O9" s="28" t="str">
        <x:v>Unknown</x:v>
      </x:c>
      <x:c r="P9" s="28" t="str">
        <x:v>Unknown</x:v>
      </x:c>
      <x:c r="Q9" s="28" t="str">
        <x:v>Unknown</x:v>
      </x:c>
      <x:c r="R9" s="28" t="str">
        <x:v>Unknown</x:v>
      </x:c>
      <x:c r="S9" s="28" t="str"/>
      <x:c r="T9" s="28" t="str"/>
      <x:c r="U9" s="28" t="n">
        <x:f>IF(AND(G9="Yes",C9&lt;&gt;""),IF(COUNTIFS($C$2:C9,C9,$G$2:G9,"Yes")=1,1,0),0)</x:f>
        <x:v>0</x:v>
      </x:c>
    </x:row>
    <x:row r="10">
      <x:c r="A10" s="28" t="str">
        <x:v>INT-009</x:v>
      </x:c>
      <x:c r="B10" s="28" t="str"/>
      <x:c r="C10" s="28" t="str"/>
      <x:c r="D10" s="30"/>
      <x:c r="E10" s="28" t="str"/>
      <x:c r="F10" s="28" t="str">
        <x:v>Operator</x:v>
      </x:c>
      <x:c r="G10" s="28" t="str">
        <x:v>No</x:v>
      </x:c>
      <x:c r="H10" s="28" t="str">
        <x:v>Notes only</x:v>
      </x:c>
      <x:c r="I10" s="28" t="str">
        <x:v>No source document viewed</x:v>
      </x:c>
      <x:c r="J10" s="28"/>
      <x:c r="K10" s="28"/>
      <x:c r="L10" s="28"/>
      <x:c r="M10" s="28" t="str"/>
      <x:c r="N10" s="28" t="str"/>
      <x:c r="O10" s="28" t="str">
        <x:v>Unknown</x:v>
      </x:c>
      <x:c r="P10" s="28" t="str">
        <x:v>Unknown</x:v>
      </x:c>
      <x:c r="Q10" s="28" t="str">
        <x:v>Unknown</x:v>
      </x:c>
      <x:c r="R10" s="28" t="str">
        <x:v>Unknown</x:v>
      </x:c>
      <x:c r="S10" s="28" t="str"/>
      <x:c r="T10" s="28" t="str"/>
      <x:c r="U10" s="28" t="n">
        <x:f>IF(AND(G10="Yes",C10&lt;&gt;""),IF(COUNTIFS($C$2:C10,C10,$G$2:G10,"Yes")=1,1,0),0)</x:f>
        <x:v>0</x:v>
      </x:c>
    </x:row>
    <x:row r="11">
      <x:c r="A11" s="28" t="str">
        <x:v>INT-010</x:v>
      </x:c>
      <x:c r="B11" s="28" t="str"/>
      <x:c r="C11" s="28" t="str"/>
      <x:c r="D11" s="30"/>
      <x:c r="E11" s="28" t="str"/>
      <x:c r="F11" s="28" t="str">
        <x:v>Operator</x:v>
      </x:c>
      <x:c r="G11" s="28" t="str">
        <x:v>No</x:v>
      </x:c>
      <x:c r="H11" s="28" t="str">
        <x:v>Notes only</x:v>
      </x:c>
      <x:c r="I11" s="28" t="str">
        <x:v>No source document viewed</x:v>
      </x:c>
      <x:c r="J11" s="28"/>
      <x:c r="K11" s="28"/>
      <x:c r="L11" s="28"/>
      <x:c r="M11" s="28" t="str"/>
      <x:c r="N11" s="28" t="str"/>
      <x:c r="O11" s="28" t="str">
        <x:v>Unknown</x:v>
      </x:c>
      <x:c r="P11" s="28" t="str">
        <x:v>Unknown</x:v>
      </x:c>
      <x:c r="Q11" s="28" t="str">
        <x:v>Unknown</x:v>
      </x:c>
      <x:c r="R11" s="28" t="str">
        <x:v>Unknown</x:v>
      </x:c>
      <x:c r="S11" s="28" t="str"/>
      <x:c r="T11" s="28" t="str"/>
      <x:c r="U11" s="28" t="n">
        <x:f>IF(AND(G11="Yes",C11&lt;&gt;""),IF(COUNTIFS($C$2:C11,C11,$G$2:G11,"Yes")=1,1,0),0)</x:f>
        <x:v>0</x:v>
      </x:c>
    </x:row>
    <x:row r="12">
      <x:c r="A12" s="28"/>
      <x:c r="B12" s="28"/>
      <x:c r="C12" s="28"/>
      <x:c r="D12" s="30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 t="n">
        <x:f>IF(AND(G12="Yes",C12&lt;&gt;""),IF(COUNTIFS($C$2:C12,C12,$G$2:G12,"Yes")=1,1,0),0)</x:f>
        <x:v>0</x:v>
      </x:c>
    </x:row>
    <x:row r="13">
      <x:c r="A13" s="28"/>
      <x:c r="B13" s="28"/>
      <x:c r="C13" s="28"/>
      <x:c r="D13" s="30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 t="n">
        <x:f>IF(AND(G13="Yes",C13&lt;&gt;""),IF(COUNTIFS($C$2:C13,C13,$G$2:G13,"Yes")=1,1,0),0)</x:f>
        <x:v>0</x:v>
      </x:c>
    </x:row>
    <x:row r="14">
      <x:c r="A14" s="28"/>
      <x:c r="B14" s="28"/>
      <x:c r="C14" s="28"/>
      <x:c r="D14" s="30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 t="n">
        <x:f>IF(AND(G14="Yes",C14&lt;&gt;""),IF(COUNTIFS($C$2:C14,C14,$G$2:G14,"Yes")=1,1,0),0)</x:f>
        <x:v>0</x:v>
      </x:c>
    </x:row>
    <x:row r="15">
      <x:c r="A15" s="28"/>
      <x:c r="B15" s="28"/>
      <x:c r="C15" s="28"/>
      <x:c r="D15" s="30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 t="n">
        <x:f>IF(AND(G15="Yes",C15&lt;&gt;""),IF(COUNTIFS($C$2:C15,C15,$G$2:G15,"Yes")=1,1,0),0)</x:f>
        <x:v>0</x:v>
      </x:c>
    </x:row>
    <x:row r="16">
      <x:c r="A16" s="28"/>
      <x:c r="B16" s="28"/>
      <x:c r="C16" s="28"/>
      <x:c r="D16" s="30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 t="n">
        <x:f>IF(AND(G16="Yes",C16&lt;&gt;""),IF(COUNTIFS($C$2:C16,C16,$G$2:G16,"Yes")=1,1,0),0)</x:f>
        <x:v>0</x:v>
      </x:c>
    </x:row>
    <x:row r="17">
      <x:c r="A17" s="28"/>
      <x:c r="B17" s="28"/>
      <x:c r="C17" s="28"/>
      <x:c r="D17" s="30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 t="n">
        <x:f>IF(AND(G17="Yes",C17&lt;&gt;""),IF(COUNTIFS($C$2:C17,C17,$G$2:G17,"Yes")=1,1,0),0)</x:f>
        <x:v>0</x:v>
      </x:c>
    </x:row>
    <x:row r="18">
      <x:c r="A18" s="28"/>
      <x:c r="B18" s="28"/>
      <x:c r="C18" s="28"/>
      <x:c r="D18" s="30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 t="n">
        <x:f>IF(AND(G18="Yes",C18&lt;&gt;""),IF(COUNTIFS($C$2:C18,C18,$G$2:G18,"Yes")=1,1,0),0)</x:f>
        <x:v>0</x:v>
      </x:c>
    </x:row>
    <x:row r="19">
      <x:c r="A19" s="28"/>
      <x:c r="B19" s="28"/>
      <x:c r="C19" s="28"/>
      <x:c r="D19" s="30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 t="n">
        <x:f>IF(AND(G19="Yes",C19&lt;&gt;""),IF(COUNTIFS($C$2:C19,C19,$G$2:G19,"Yes")=1,1,0),0)</x:f>
        <x:v>0</x:v>
      </x:c>
    </x:row>
    <x:row r="20">
      <x:c r="A20" s="28"/>
      <x:c r="B20" s="28"/>
      <x:c r="C20" s="28"/>
      <x:c r="D20" s="30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 t="n">
        <x:f>IF(AND(G20="Yes",C20&lt;&gt;""),IF(COUNTIFS($C$2:C20,C20,$G$2:G20,"Yes")=1,1,0),0)</x:f>
        <x:v>0</x:v>
      </x:c>
    </x:row>
    <x:row r="21">
      <x:c r="A21" s="28"/>
      <x:c r="B21" s="28"/>
      <x:c r="C21" s="28"/>
      <x:c r="D21" s="30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 t="n">
        <x:f>IF(AND(G21="Yes",C21&lt;&gt;""),IF(COUNTIFS($C$2:C21,C21,$G$2:G21,"Yes")=1,1,0),0)</x:f>
        <x:v>0</x:v>
      </x:c>
    </x:row>
    <x:row r="22">
      <x:c r="A22" s="28"/>
      <x:c r="B22" s="28"/>
      <x:c r="C22" s="28"/>
      <x:c r="D22" s="30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 t="n">
        <x:f>IF(AND(G22="Yes",C22&lt;&gt;""),IF(COUNTIFS($C$2:C22,C22,$G$2:G22,"Yes")=1,1,0),0)</x:f>
        <x:v>0</x:v>
      </x:c>
    </x:row>
    <x:row r="23">
      <x:c r="A23" s="28"/>
      <x:c r="B23" s="28"/>
      <x:c r="C23" s="28"/>
      <x:c r="D23" s="30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 t="n">
        <x:f>IF(AND(G23="Yes",C23&lt;&gt;""),IF(COUNTIFS($C$2:C23,C23,$G$2:G23,"Yes")=1,1,0),0)</x:f>
        <x:v>0</x:v>
      </x:c>
    </x:row>
    <x:row r="24">
      <x:c r="A24" s="28"/>
      <x:c r="B24" s="28"/>
      <x:c r="C24" s="28"/>
      <x:c r="D24" s="30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 t="n">
        <x:f>IF(AND(G24="Yes",C24&lt;&gt;""),IF(COUNTIFS($C$2:C24,C24,$G$2:G24,"Yes")=1,1,0),0)</x:f>
        <x:v>0</x:v>
      </x:c>
    </x:row>
    <x:row r="25">
      <x:c r="A25" s="28"/>
      <x:c r="B25" s="28"/>
      <x:c r="C25" s="28"/>
      <x:c r="D25" s="30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 t="n">
        <x:f>IF(AND(G25="Yes",C25&lt;&gt;""),IF(COUNTIFS($C$2:C25,C25,$G$2:G25,"Yes")=1,1,0),0)</x:f>
        <x:v>0</x:v>
      </x:c>
    </x:row>
    <x:row r="26">
      <x:c r="A26" s="28"/>
      <x:c r="B26" s="28"/>
      <x:c r="C26" s="28"/>
      <x:c r="D26" s="30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 t="n">
        <x:f>IF(AND(G26="Yes",C26&lt;&gt;""),IF(COUNTIFS($C$2:C26,C26,$G$2:G26,"Yes")=1,1,0),0)</x:f>
        <x:v>0</x:v>
      </x:c>
    </x:row>
    <x:row r="27">
      <x:c r="A27" s="28"/>
      <x:c r="B27" s="28"/>
      <x:c r="C27" s="28"/>
      <x:c r="D27" s="30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 t="n">
        <x:f>IF(AND(G27="Yes",C27&lt;&gt;""),IF(COUNTIFS($C$2:C27,C27,$G$2:G27,"Yes")=1,1,0),0)</x:f>
        <x:v>0</x:v>
      </x:c>
    </x:row>
    <x:row r="28">
      <x:c r="A28" s="28"/>
      <x:c r="B28" s="28"/>
      <x:c r="C28" s="28"/>
      <x:c r="D28" s="30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 t="n">
        <x:f>IF(AND(G28="Yes",C28&lt;&gt;""),IF(COUNTIFS($C$2:C28,C28,$G$2:G28,"Yes")=1,1,0),0)</x:f>
        <x:v>0</x:v>
      </x:c>
    </x:row>
    <x:row r="29">
      <x:c r="A29" s="28"/>
      <x:c r="B29" s="28"/>
      <x:c r="C29" s="28"/>
      <x:c r="D29" s="30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 t="n">
        <x:f>IF(AND(G29="Yes",C29&lt;&gt;""),IF(COUNTIFS($C$2:C29,C29,$G$2:G29,"Yes")=1,1,0),0)</x:f>
        <x:v>0</x:v>
      </x:c>
    </x:row>
    <x:row r="30">
      <x:c r="A30" s="28"/>
      <x:c r="B30" s="28"/>
      <x:c r="C30" s="28"/>
      <x:c r="D30" s="30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 t="n">
        <x:f>IF(AND(G30="Yes",C30&lt;&gt;""),IF(COUNTIFS($C$2:C30,C30,$G$2:G30,"Yes")=1,1,0),0)</x:f>
        <x:v>0</x:v>
      </x:c>
    </x:row>
    <x:row r="31">
      <x:c r="A31" s="28"/>
      <x:c r="B31" s="28"/>
      <x:c r="C31" s="28"/>
      <x:c r="D31" s="30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 t="n">
        <x:f>IF(AND(G31="Yes",C31&lt;&gt;""),IF(COUNTIFS($C$2:C31,C31,$G$2:G31,"Yes")=1,1,0),0)</x:f>
        <x:v>0</x:v>
      </x:c>
    </x:row>
    <x:row r="32">
      <x:c r="A32" s="28"/>
      <x:c r="B32" s="28"/>
      <x:c r="C32" s="28"/>
      <x:c r="D32" s="30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 t="n">
        <x:f>IF(AND(G32="Yes",C32&lt;&gt;""),IF(COUNTIFS($C$2:C32,C32,$G$2:G32,"Yes")=1,1,0),0)</x:f>
        <x:v>0</x:v>
      </x:c>
    </x:row>
    <x:row r="33">
      <x:c r="A33" s="28"/>
      <x:c r="B33" s="28"/>
      <x:c r="C33" s="28"/>
      <x:c r="D33" s="30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 t="n">
        <x:f>IF(AND(G33="Yes",C33&lt;&gt;""),IF(COUNTIFS($C$2:C33,C33,$G$2:G33,"Yes")=1,1,0),0)</x:f>
        <x:v>0</x:v>
      </x:c>
    </x:row>
    <x:row r="34">
      <x:c r="A34" s="28"/>
      <x:c r="B34" s="28"/>
      <x:c r="C34" s="28"/>
      <x:c r="D34" s="30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 t="n">
        <x:f>IF(AND(G34="Yes",C34&lt;&gt;""),IF(COUNTIFS($C$2:C34,C34,$G$2:G34,"Yes")=1,1,0),0)</x:f>
        <x:v>0</x:v>
      </x:c>
    </x:row>
    <x:row r="35">
      <x:c r="A35" s="28"/>
      <x:c r="B35" s="28"/>
      <x:c r="C35" s="28"/>
      <x:c r="D35" s="30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 t="n">
        <x:f>IF(AND(G35="Yes",C35&lt;&gt;""),IF(COUNTIFS($C$2:C35,C35,$G$2:G35,"Yes")=1,1,0),0)</x:f>
        <x:v>0</x:v>
      </x:c>
    </x:row>
    <x:row r="36">
      <x:c r="A36" s="28"/>
      <x:c r="B36" s="28"/>
      <x:c r="C36" s="28"/>
      <x:c r="D36" s="30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 t="n">
        <x:f>IF(AND(G36="Yes",C36&lt;&gt;""),IF(COUNTIFS($C$2:C36,C36,$G$2:G36,"Yes")=1,1,0),0)</x:f>
        <x:v>0</x:v>
      </x:c>
    </x:row>
    <x:row r="37">
      <x:c r="A37" s="28"/>
      <x:c r="B37" s="28"/>
      <x:c r="C37" s="28"/>
      <x:c r="D37" s="30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 t="n">
        <x:f>IF(AND(G37="Yes",C37&lt;&gt;""),IF(COUNTIFS($C$2:C37,C37,$G$2:G37,"Yes")=1,1,0),0)</x:f>
        <x:v>0</x:v>
      </x:c>
    </x:row>
    <x:row r="38">
      <x:c r="A38" s="28"/>
      <x:c r="B38" s="28"/>
      <x:c r="C38" s="28"/>
      <x:c r="D38" s="30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 t="n">
        <x:f>IF(AND(G38="Yes",C38&lt;&gt;""),IF(COUNTIFS($C$2:C38,C38,$G$2:G38,"Yes")=1,1,0),0)</x:f>
        <x:v>0</x:v>
      </x:c>
    </x:row>
    <x:row r="39">
      <x:c r="A39" s="28"/>
      <x:c r="B39" s="28"/>
      <x:c r="C39" s="28"/>
      <x:c r="D39" s="30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 t="n">
        <x:f>IF(AND(G39="Yes",C39&lt;&gt;""),IF(COUNTIFS($C$2:C39,C39,$G$2:G39,"Yes")=1,1,0),0)</x:f>
        <x:v>0</x:v>
      </x:c>
    </x:row>
    <x:row r="40">
      <x:c r="A40" s="28"/>
      <x:c r="B40" s="28"/>
      <x:c r="C40" s="28"/>
      <x:c r="D40" s="30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 t="n">
        <x:f>IF(AND(G40="Yes",C40&lt;&gt;""),IF(COUNTIFS($C$2:C40,C40,$G$2:G40,"Yes")=1,1,0),0)</x:f>
        <x:v>0</x:v>
      </x:c>
    </x:row>
    <x:row r="41">
      <x:c r="A41" s="28"/>
      <x:c r="B41" s="28"/>
      <x:c r="C41" s="28"/>
      <x:c r="D41" s="30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 t="n">
        <x:f>IF(AND(G41="Yes",C41&lt;&gt;""),IF(COUNTIFS($C$2:C41,C41,$G$2:G41,"Yes")=1,1,0),0)</x:f>
        <x:v>0</x:v>
      </x:c>
    </x:row>
    <x:row r="42">
      <x:c r="A42" s="28"/>
      <x:c r="B42" s="28"/>
      <x:c r="C42" s="28"/>
      <x:c r="D42" s="30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 t="n">
        <x:f>IF(AND(G42="Yes",C42&lt;&gt;""),IF(COUNTIFS($C$2:C42,C42,$G$2:G42,"Yes")=1,1,0),0)</x:f>
        <x:v>0</x:v>
      </x:c>
    </x:row>
    <x:row r="43">
      <x:c r="A43" s="28"/>
      <x:c r="B43" s="28"/>
      <x:c r="C43" s="28"/>
      <x:c r="D43" s="30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 t="n">
        <x:f>IF(AND(G43="Yes",C43&lt;&gt;""),IF(COUNTIFS($C$2:C43,C43,$G$2:G43,"Yes")=1,1,0),0)</x:f>
        <x:v>0</x:v>
      </x:c>
    </x:row>
    <x:row r="44">
      <x:c r="A44" s="28"/>
      <x:c r="B44" s="28"/>
      <x:c r="C44" s="28"/>
      <x:c r="D44" s="30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 t="n">
        <x:f>IF(AND(G44="Yes",C44&lt;&gt;""),IF(COUNTIFS($C$2:C44,C44,$G$2:G44,"Yes")=1,1,0),0)</x:f>
        <x:v>0</x:v>
      </x:c>
    </x:row>
    <x:row r="45">
      <x:c r="A45" s="28"/>
      <x:c r="B45" s="28"/>
      <x:c r="C45" s="28"/>
      <x:c r="D45" s="30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 t="n">
        <x:f>IF(AND(G45="Yes",C45&lt;&gt;""),IF(COUNTIFS($C$2:C45,C45,$G$2:G45,"Yes")=1,1,0),0)</x:f>
        <x:v>0</x:v>
      </x:c>
    </x:row>
    <x:row r="46">
      <x:c r="A46" s="28"/>
      <x:c r="B46" s="28"/>
      <x:c r="C46" s="28"/>
      <x:c r="D46" s="30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 t="n">
        <x:f>IF(AND(G46="Yes",C46&lt;&gt;""),IF(COUNTIFS($C$2:C46,C46,$G$2:G46,"Yes")=1,1,0),0)</x:f>
        <x:v>0</x:v>
      </x:c>
    </x:row>
    <x:row r="47">
      <x:c r="A47" s="28"/>
      <x:c r="B47" s="28"/>
      <x:c r="C47" s="28"/>
      <x:c r="D47" s="30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 t="n">
        <x:f>IF(AND(G47="Yes",C47&lt;&gt;""),IF(COUNTIFS($C$2:C47,C47,$G$2:G47,"Yes")=1,1,0),0)</x:f>
        <x:v>0</x:v>
      </x:c>
    </x:row>
    <x:row r="48">
      <x:c r="A48" s="28"/>
      <x:c r="B48" s="28"/>
      <x:c r="C48" s="28"/>
      <x:c r="D48" s="30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 t="n">
        <x:f>IF(AND(G48="Yes",C48&lt;&gt;""),IF(COUNTIFS($C$2:C48,C48,$G$2:G48,"Yes")=1,1,0),0)</x:f>
        <x:v>0</x:v>
      </x:c>
    </x:row>
    <x:row r="49">
      <x:c r="A49" s="28"/>
      <x:c r="B49" s="28"/>
      <x:c r="C49" s="28"/>
      <x:c r="D49" s="30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 t="n">
        <x:f>IF(AND(G49="Yes",C49&lt;&gt;""),IF(COUNTIFS($C$2:C49,C49,$G$2:G49,"Yes")=1,1,0),0)</x:f>
        <x:v>0</x:v>
      </x:c>
    </x:row>
    <x:row r="50">
      <x:c r="A50" s="28"/>
      <x:c r="B50" s="28"/>
      <x:c r="C50" s="28"/>
      <x:c r="D50" s="30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 t="n">
        <x:f>IF(AND(G50="Yes",C50&lt;&gt;""),IF(COUNTIFS($C$2:C50,C50,$G$2:G50,"Yes")=1,1,0),0)</x:f>
        <x:v>0</x:v>
      </x:c>
    </x:row>
    <x:row r="51">
      <x:c r="A51" s="28"/>
      <x:c r="B51" s="28"/>
      <x:c r="C51" s="28"/>
      <x:c r="D51" s="30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 t="n">
        <x:f>IF(AND(G51="Yes",C51&lt;&gt;""),IF(COUNTIFS($C$2:C51,C51,$G$2:G51,"Yes")=1,1,0),0)</x:f>
        <x:v>0</x:v>
      </x:c>
    </x:row>
    <x:row r="52">
      <x:c r="A52" s="28"/>
      <x:c r="B52" s="28"/>
      <x:c r="C52" s="28"/>
      <x:c r="D52" s="30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 t="n">
        <x:f>IF(AND(G52="Yes",C52&lt;&gt;""),IF(COUNTIFS($C$2:C52,C52,$G$2:G52,"Yes")=1,1,0),0)</x:f>
        <x:v>0</x:v>
      </x:c>
    </x:row>
    <x:row r="53">
      <x:c r="A53" s="28"/>
      <x:c r="B53" s="28"/>
      <x:c r="C53" s="28"/>
      <x:c r="D53" s="30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 t="n">
        <x:f>IF(AND(G53="Yes",C53&lt;&gt;""),IF(COUNTIFS($C$2:C53,C53,$G$2:G53,"Yes")=1,1,0),0)</x:f>
        <x:v>0</x:v>
      </x:c>
    </x:row>
    <x:row r="54">
      <x:c r="A54" s="28"/>
      <x:c r="B54" s="28"/>
      <x:c r="C54" s="28"/>
      <x:c r="D54" s="30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 t="n">
        <x:f>IF(AND(G54="Yes",C54&lt;&gt;""),IF(COUNTIFS($C$2:C54,C54,$G$2:G54,"Yes")=1,1,0),0)</x:f>
        <x:v>0</x:v>
      </x:c>
    </x:row>
    <x:row r="55">
      <x:c r="A55" s="28"/>
      <x:c r="B55" s="28"/>
      <x:c r="C55" s="28"/>
      <x:c r="D55" s="30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 t="n">
        <x:f>IF(AND(G55="Yes",C55&lt;&gt;""),IF(COUNTIFS($C$2:C55,C55,$G$2:G55,"Yes")=1,1,0),0)</x:f>
        <x:v>0</x:v>
      </x:c>
    </x:row>
    <x:row r="56">
      <x:c r="A56" s="28"/>
      <x:c r="B56" s="28"/>
      <x:c r="C56" s="28"/>
      <x:c r="D56" s="30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 t="n">
        <x:f>IF(AND(G56="Yes",C56&lt;&gt;""),IF(COUNTIFS($C$2:C56,C56,$G$2:G56,"Yes")=1,1,0),0)</x:f>
        <x:v>0</x:v>
      </x:c>
    </x:row>
    <x:row r="57">
      <x:c r="A57" s="28"/>
      <x:c r="B57" s="28"/>
      <x:c r="C57" s="28"/>
      <x:c r="D57" s="30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 t="n">
        <x:f>IF(AND(G57="Yes",C57&lt;&gt;""),IF(COUNTIFS($C$2:C57,C57,$G$2:G57,"Yes")=1,1,0),0)</x:f>
        <x:v>0</x:v>
      </x:c>
    </x:row>
    <x:row r="58">
      <x:c r="A58" s="28"/>
      <x:c r="B58" s="28"/>
      <x:c r="C58" s="28"/>
      <x:c r="D58" s="30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 t="n">
        <x:f>IF(AND(G58="Yes",C58&lt;&gt;""),IF(COUNTIFS($C$2:C58,C58,$G$2:G58,"Yes")=1,1,0),0)</x:f>
        <x:v>0</x:v>
      </x:c>
    </x:row>
    <x:row r="59">
      <x:c r="A59" s="28"/>
      <x:c r="B59" s="28"/>
      <x:c r="C59" s="28"/>
      <x:c r="D59" s="30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 t="n">
        <x:f>IF(AND(G59="Yes",C59&lt;&gt;""),IF(COUNTIFS($C$2:C59,C59,$G$2:G59,"Yes")=1,1,0),0)</x:f>
        <x:v>0</x:v>
      </x:c>
    </x:row>
    <x:row r="60">
      <x:c r="A60" s="28"/>
      <x:c r="B60" s="28"/>
      <x:c r="C60" s="28"/>
      <x:c r="D60" s="30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 t="n">
        <x:f>IF(AND(G60="Yes",C60&lt;&gt;""),IF(COUNTIFS($C$2:C60,C60,$G$2:G60,"Yes")=1,1,0),0)</x:f>
        <x:v>0</x:v>
      </x:c>
    </x:row>
    <x:row r="61">
      <x:c r="A61" s="28"/>
      <x:c r="B61" s="28"/>
      <x:c r="C61" s="28"/>
      <x:c r="D61" s="30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 t="n">
        <x:f>IF(AND(G61="Yes",C61&lt;&gt;""),IF(COUNTIFS($C$2:C61,C61,$G$2:G61,"Yes")=1,1,0),0)</x:f>
        <x:v>0</x:v>
      </x:c>
    </x:row>
    <x:row r="62">
      <x:c r="A62" s="28"/>
      <x:c r="B62" s="28"/>
      <x:c r="C62" s="28"/>
      <x:c r="D62" s="30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 t="n">
        <x:f>IF(AND(G62="Yes",C62&lt;&gt;""),IF(COUNTIFS($C$2:C62,C62,$G$2:G62,"Yes")=1,1,0),0)</x:f>
        <x:v>0</x:v>
      </x:c>
    </x:row>
    <x:row r="63">
      <x:c r="A63" s="28"/>
      <x:c r="B63" s="28"/>
      <x:c r="C63" s="28"/>
      <x:c r="D63" s="30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 t="n">
        <x:f>IF(AND(G63="Yes",C63&lt;&gt;""),IF(COUNTIFS($C$2:C63,C63,$G$2:G63,"Yes")=1,1,0),0)</x:f>
        <x:v>0</x:v>
      </x:c>
    </x:row>
    <x:row r="64">
      <x:c r="A64" s="28"/>
      <x:c r="B64" s="28"/>
      <x:c r="C64" s="28"/>
      <x:c r="D64" s="30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 t="n">
        <x:f>IF(AND(G64="Yes",C64&lt;&gt;""),IF(COUNTIFS($C$2:C64,C64,$G$2:G64,"Yes")=1,1,0),0)</x:f>
        <x:v>0</x:v>
      </x:c>
    </x:row>
    <x:row r="65">
      <x:c r="A65" s="28"/>
      <x:c r="B65" s="28"/>
      <x:c r="C65" s="28"/>
      <x:c r="D65" s="30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 t="n">
        <x:f>IF(AND(G65="Yes",C65&lt;&gt;""),IF(COUNTIFS($C$2:C65,C65,$G$2:G65,"Yes")=1,1,0),0)</x:f>
        <x:v>0</x:v>
      </x:c>
    </x:row>
    <x:row r="66">
      <x:c r="A66" s="28"/>
      <x:c r="B66" s="28"/>
      <x:c r="C66" s="28"/>
      <x:c r="D66" s="30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 t="n">
        <x:f>IF(AND(G66="Yes",C66&lt;&gt;""),IF(COUNTIFS($C$2:C66,C66,$G$2:G66,"Yes")=1,1,0),0)</x:f>
        <x:v>0</x:v>
      </x:c>
    </x:row>
    <x:row r="67">
      <x:c r="A67" s="28"/>
      <x:c r="B67" s="28"/>
      <x:c r="C67" s="28"/>
      <x:c r="D67" s="30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 t="n">
        <x:f>IF(AND(G67="Yes",C67&lt;&gt;""),IF(COUNTIFS($C$2:C67,C67,$G$2:G67,"Yes")=1,1,0),0)</x:f>
        <x:v>0</x:v>
      </x:c>
    </x:row>
    <x:row r="68">
      <x:c r="A68" s="28"/>
      <x:c r="B68" s="28"/>
      <x:c r="C68" s="28"/>
      <x:c r="D68" s="30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 t="n">
        <x:f>IF(AND(G68="Yes",C68&lt;&gt;""),IF(COUNTIFS($C$2:C68,C68,$G$2:G68,"Yes")=1,1,0),0)</x:f>
        <x:v>0</x:v>
      </x:c>
    </x:row>
    <x:row r="69">
      <x:c r="A69" s="28"/>
      <x:c r="B69" s="28"/>
      <x:c r="C69" s="28"/>
      <x:c r="D69" s="30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 t="n">
        <x:f>IF(AND(G69="Yes",C69&lt;&gt;""),IF(COUNTIFS($C$2:C69,C69,$G$2:G69,"Yes")=1,1,0),0)</x:f>
        <x:v>0</x:v>
      </x:c>
    </x:row>
    <x:row r="70">
      <x:c r="A70" s="28"/>
      <x:c r="B70" s="28"/>
      <x:c r="C70" s="28"/>
      <x:c r="D70" s="30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 t="n">
        <x:f>IF(AND(G70="Yes",C70&lt;&gt;""),IF(COUNTIFS($C$2:C70,C70,$G$2:G70,"Yes")=1,1,0),0)</x:f>
        <x:v>0</x:v>
      </x:c>
    </x:row>
    <x:row r="71">
      <x:c r="A71" s="28"/>
      <x:c r="B71" s="28"/>
      <x:c r="C71" s="28"/>
      <x:c r="D71" s="30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 t="n">
        <x:f>IF(AND(G71="Yes",C71&lt;&gt;""),IF(COUNTIFS($C$2:C71,C71,$G$2:G71,"Yes")=1,1,0),0)</x:f>
        <x:v>0</x:v>
      </x:c>
    </x:row>
    <x:row r="72">
      <x:c r="A72" s="28"/>
      <x:c r="B72" s="28"/>
      <x:c r="C72" s="28"/>
      <x:c r="D72" s="30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 t="n">
        <x:f>IF(AND(G72="Yes",C72&lt;&gt;""),IF(COUNTIFS($C$2:C72,C72,$G$2:G72,"Yes")=1,1,0),0)</x:f>
        <x:v>0</x:v>
      </x:c>
    </x:row>
    <x:row r="73">
      <x:c r="A73" s="28"/>
      <x:c r="B73" s="28"/>
      <x:c r="C73" s="28"/>
      <x:c r="D73" s="30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 t="n">
        <x:f>IF(AND(G73="Yes",C73&lt;&gt;""),IF(COUNTIFS($C$2:C73,C73,$G$2:G73,"Yes")=1,1,0),0)</x:f>
        <x:v>0</x:v>
      </x:c>
    </x:row>
    <x:row r="74">
      <x:c r="A74" s="28"/>
      <x:c r="B74" s="28"/>
      <x:c r="C74" s="28"/>
      <x:c r="D74" s="30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 t="n">
        <x:f>IF(AND(G74="Yes",C74&lt;&gt;""),IF(COUNTIFS($C$2:C74,C74,$G$2:G74,"Yes")=1,1,0),0)</x:f>
        <x:v>0</x:v>
      </x:c>
    </x:row>
    <x:row r="75">
      <x:c r="A75" s="28"/>
      <x:c r="B75" s="28"/>
      <x:c r="C75" s="28"/>
      <x:c r="D75" s="30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 t="n">
        <x:f>IF(AND(G75="Yes",C75&lt;&gt;""),IF(COUNTIFS($C$2:C75,C75,$G$2:G75,"Yes")=1,1,0),0)</x:f>
        <x:v>0</x:v>
      </x:c>
    </x:row>
    <x:row r="76">
      <x:c r="A76" s="28"/>
      <x:c r="B76" s="28"/>
      <x:c r="C76" s="28"/>
      <x:c r="D76" s="30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 t="n">
        <x:f>IF(AND(G76="Yes",C76&lt;&gt;""),IF(COUNTIFS($C$2:C76,C76,$G$2:G76,"Yes")=1,1,0),0)</x:f>
        <x:v>0</x:v>
      </x:c>
    </x:row>
    <x:row r="77">
      <x:c r="A77" s="28"/>
      <x:c r="B77" s="28"/>
      <x:c r="C77" s="28"/>
      <x:c r="D77" s="30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 t="n">
        <x:f>IF(AND(G77="Yes",C77&lt;&gt;""),IF(COUNTIFS($C$2:C77,C77,$G$2:G77,"Yes")=1,1,0),0)</x:f>
        <x:v>0</x:v>
      </x:c>
    </x:row>
    <x:row r="78">
      <x:c r="A78" s="28"/>
      <x:c r="B78" s="28"/>
      <x:c r="C78" s="28"/>
      <x:c r="D78" s="30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 t="n">
        <x:f>IF(AND(G78="Yes",C78&lt;&gt;""),IF(COUNTIFS($C$2:C78,C78,$G$2:G78,"Yes")=1,1,0),0)</x:f>
        <x:v>0</x:v>
      </x:c>
    </x:row>
    <x:row r="79">
      <x:c r="A79" s="28"/>
      <x:c r="B79" s="28"/>
      <x:c r="C79" s="28"/>
      <x:c r="D79" s="30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 t="n">
        <x:f>IF(AND(G79="Yes",C79&lt;&gt;""),IF(COUNTIFS($C$2:C79,C79,$G$2:G79,"Yes")=1,1,0),0)</x:f>
        <x:v>0</x:v>
      </x:c>
    </x:row>
    <x:row r="80">
      <x:c r="A80" s="28"/>
      <x:c r="B80" s="28"/>
      <x:c r="C80" s="28"/>
      <x:c r="D80" s="30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 t="n">
        <x:f>IF(AND(G80="Yes",C80&lt;&gt;""),IF(COUNTIFS($C$2:C80,C80,$G$2:G80,"Yes")=1,1,0),0)</x:f>
        <x:v>0</x:v>
      </x:c>
    </x:row>
    <x:row r="81">
      <x:c r="A81" s="28"/>
      <x:c r="B81" s="28"/>
      <x:c r="C81" s="28"/>
      <x:c r="D81" s="30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 t="n">
        <x:f>IF(AND(G81="Yes",C81&lt;&gt;""),IF(COUNTIFS($C$2:C81,C81,$G$2:G81,"Yes")=1,1,0),0)</x:f>
        <x:v>0</x:v>
      </x:c>
    </x:row>
    <x:row r="82">
      <x:c r="A82" s="28"/>
      <x:c r="B82" s="28"/>
      <x:c r="C82" s="28"/>
      <x:c r="D82" s="30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 t="n">
        <x:f>IF(AND(G82="Yes",C82&lt;&gt;""),IF(COUNTIFS($C$2:C82,C82,$G$2:G82,"Yes")=1,1,0),0)</x:f>
        <x:v>0</x:v>
      </x:c>
    </x:row>
    <x:row r="83">
      <x:c r="A83" s="28"/>
      <x:c r="B83" s="28"/>
      <x:c r="C83" s="28"/>
      <x:c r="D83" s="30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 t="n">
        <x:f>IF(AND(G83="Yes",C83&lt;&gt;""),IF(COUNTIFS($C$2:C83,C83,$G$2:G83,"Yes")=1,1,0),0)</x:f>
        <x:v>0</x:v>
      </x:c>
    </x:row>
    <x:row r="84">
      <x:c r="A84" s="28"/>
      <x:c r="B84" s="28"/>
      <x:c r="C84" s="28"/>
      <x:c r="D84" s="30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 t="n">
        <x:f>IF(AND(G84="Yes",C84&lt;&gt;""),IF(COUNTIFS($C$2:C84,C84,$G$2:G84,"Yes")=1,1,0),0)</x:f>
        <x:v>0</x:v>
      </x:c>
    </x:row>
    <x:row r="85">
      <x:c r="A85" s="28"/>
      <x:c r="B85" s="28"/>
      <x:c r="C85" s="28"/>
      <x:c r="D85" s="30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 t="n">
        <x:f>IF(AND(G85="Yes",C85&lt;&gt;""),IF(COUNTIFS($C$2:C85,C85,$G$2:G85,"Yes")=1,1,0),0)</x:f>
        <x:v>0</x:v>
      </x:c>
    </x:row>
    <x:row r="86">
      <x:c r="A86" s="28"/>
      <x:c r="B86" s="28"/>
      <x:c r="C86" s="28"/>
      <x:c r="D86" s="30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 t="n">
        <x:f>IF(AND(G86="Yes",C86&lt;&gt;""),IF(COUNTIFS($C$2:C86,C86,$G$2:G86,"Yes")=1,1,0),0)</x:f>
        <x:v>0</x:v>
      </x:c>
    </x:row>
    <x:row r="87">
      <x:c r="A87" s="28"/>
      <x:c r="B87" s="28"/>
      <x:c r="C87" s="28"/>
      <x:c r="D87" s="30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 t="n">
        <x:f>IF(AND(G87="Yes",C87&lt;&gt;""),IF(COUNTIFS($C$2:C87,C87,$G$2:G87,"Yes")=1,1,0),0)</x:f>
        <x:v>0</x:v>
      </x:c>
    </x:row>
    <x:row r="88">
      <x:c r="A88" s="28"/>
      <x:c r="B88" s="28"/>
      <x:c r="C88" s="28"/>
      <x:c r="D88" s="30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 t="n">
        <x:f>IF(AND(G88="Yes",C88&lt;&gt;""),IF(COUNTIFS($C$2:C88,C88,$G$2:G88,"Yes")=1,1,0),0)</x:f>
        <x:v>0</x:v>
      </x:c>
    </x:row>
    <x:row r="89">
      <x:c r="A89" s="28"/>
      <x:c r="B89" s="28"/>
      <x:c r="C89" s="28"/>
      <x:c r="D89" s="30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 t="n">
        <x:f>IF(AND(G89="Yes",C89&lt;&gt;""),IF(COUNTIFS($C$2:C89,C89,$G$2:G89,"Yes")=1,1,0),0)</x:f>
        <x:v>0</x:v>
      </x:c>
    </x:row>
    <x:row r="90">
      <x:c r="A90" s="28"/>
      <x:c r="B90" s="28"/>
      <x:c r="C90" s="28"/>
      <x:c r="D90" s="30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 t="n">
        <x:f>IF(AND(G90="Yes",C90&lt;&gt;""),IF(COUNTIFS($C$2:C90,C90,$G$2:G90,"Yes")=1,1,0),0)</x:f>
        <x:v>0</x:v>
      </x:c>
    </x:row>
    <x:row r="91">
      <x:c r="A91" s="28"/>
      <x:c r="B91" s="28"/>
      <x:c r="C91" s="28"/>
      <x:c r="D91" s="30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 t="n">
        <x:f>IF(AND(G91="Yes",C91&lt;&gt;""),IF(COUNTIFS($C$2:C91,C91,$G$2:G91,"Yes")=1,1,0),0)</x:f>
        <x:v>0</x:v>
      </x:c>
    </x:row>
    <x:row r="92">
      <x:c r="A92" s="28"/>
      <x:c r="B92" s="28"/>
      <x:c r="C92" s="28"/>
      <x:c r="D92" s="30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 t="n">
        <x:f>IF(AND(G92="Yes",C92&lt;&gt;""),IF(COUNTIFS($C$2:C92,C92,$G$2:G92,"Yes")=1,1,0),0)</x:f>
        <x:v>0</x:v>
      </x:c>
    </x:row>
    <x:row r="93">
      <x:c r="A93" s="28"/>
      <x:c r="B93" s="28"/>
      <x:c r="C93" s="28"/>
      <x:c r="D93" s="30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 t="n">
        <x:f>IF(AND(G93="Yes",C93&lt;&gt;""),IF(COUNTIFS($C$2:C93,C93,$G$2:G93,"Yes")=1,1,0),0)</x:f>
        <x:v>0</x:v>
      </x:c>
    </x:row>
    <x:row r="94">
      <x:c r="A94" s="28"/>
      <x:c r="B94" s="28"/>
      <x:c r="C94" s="28"/>
      <x:c r="D94" s="30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 t="n">
        <x:f>IF(AND(G94="Yes",C94&lt;&gt;""),IF(COUNTIFS($C$2:C94,C94,$G$2:G94,"Yes")=1,1,0),0)</x:f>
        <x:v>0</x:v>
      </x:c>
    </x:row>
    <x:row r="95">
      <x:c r="A95" s="28"/>
      <x:c r="B95" s="28"/>
      <x:c r="C95" s="28"/>
      <x:c r="D95" s="30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 t="n">
        <x:f>IF(AND(G95="Yes",C95&lt;&gt;""),IF(COUNTIFS($C$2:C95,C95,$G$2:G95,"Yes")=1,1,0),0)</x:f>
        <x:v>0</x:v>
      </x:c>
    </x:row>
    <x:row r="96">
      <x:c r="A96" s="28"/>
      <x:c r="B96" s="28"/>
      <x:c r="C96" s="28"/>
      <x:c r="D96" s="30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 t="n">
        <x:f>IF(AND(G96="Yes",C96&lt;&gt;""),IF(COUNTIFS($C$2:C96,C96,$G$2:G96,"Yes")=1,1,0),0)</x:f>
        <x:v>0</x:v>
      </x:c>
    </x:row>
    <x:row r="97">
      <x:c r="A97" s="28"/>
      <x:c r="B97" s="28"/>
      <x:c r="C97" s="28"/>
      <x:c r="D97" s="30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 t="n">
        <x:f>IF(AND(G97="Yes",C97&lt;&gt;""),IF(COUNTIFS($C$2:C97,C97,$G$2:G97,"Yes")=1,1,0),0)</x:f>
        <x:v>0</x:v>
      </x:c>
    </x:row>
    <x:row r="98">
      <x:c r="A98" s="28"/>
      <x:c r="B98" s="28"/>
      <x:c r="C98" s="28"/>
      <x:c r="D98" s="30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 t="n">
        <x:f>IF(AND(G98="Yes",C98&lt;&gt;""),IF(COUNTIFS($C$2:C98,C98,$G$2:G98,"Yes")=1,1,0),0)</x:f>
        <x:v>0</x:v>
      </x:c>
    </x:row>
    <x:row r="99">
      <x:c r="A99" s="28"/>
      <x:c r="B99" s="28"/>
      <x:c r="C99" s="28"/>
      <x:c r="D99" s="30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 t="n">
        <x:f>IF(AND(G99="Yes",C99&lt;&gt;""),IF(COUNTIFS($C$2:C99,C99,$G$2:G99,"Yes")=1,1,0),0)</x:f>
        <x:v>0</x:v>
      </x:c>
    </x:row>
    <x:row r="100">
      <x:c r="A100" s="28"/>
      <x:c r="B100" s="28"/>
      <x:c r="C100" s="28"/>
      <x:c r="D100" s="30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 t="n">
        <x:f>IF(AND(G100="Yes",C100&lt;&gt;""),IF(COUNTIFS($C$2:C100,C100,$G$2:G100,"Yes")=1,1,0),0)</x:f>
        <x:v>0</x:v>
      </x:c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</x:row>
  </x:sheetData>
  <x:conditionalFormatting sqref="G2:G100">
    <x:cfRule type="expression" dxfId="2" priority="1">
      <x:formula>G2="Yes"</x:formula>
    </x:cfRule>
  </x:conditionalFormatting>
  <x:dataValidations count="3">
    <x:dataValidation type="list" sqref="F2:F100">
      <x:formula1>"Operator,Reviewer,Team Lead,Owner/Operations"</x:formula1>
    </x:dataValidation>
    <x:dataValidation type="list" sqref="G2:G100">
      <x:formula1>"Yes,No"</x:formula1>
    </x:dataValidation>
    <x:dataValidation type="list" sqref="O2:R100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2c4c94662a4a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20" hidden="0" customWidth="1"/>
    <x:col min="5" max="5" width="28" hidden="0" customWidth="1"/>
    <x:col min="6" max="6" width="12" hidden="0" customWidth="1"/>
    <x:col min="7" max="7" width="10" hidden="0" customWidth="1"/>
    <x:col min="8" max="8" width="18" hidden="0" customWidth="1"/>
    <x:col min="9" max="9" width="24" hidden="0" customWidth="1"/>
    <x:col min="10" max="10" width="20" hidden="0" customWidth="1"/>
    <x:col min="11" max="11" width="18" hidden="0" customWidth="1"/>
    <x:col min="12" max="12" width="16" hidden="0" customWidth="1"/>
    <x:col min="13" max="13" width="18" hidden="0" customWidth="1"/>
    <x:col min="14" max="14" width="16" hidden="0" customWidth="1"/>
    <x:col min="15" max="15" width="20" hidden="0" customWidth="1"/>
    <x:col min="16" max="16" width="16" hidden="0" customWidth="1"/>
    <x:col min="17" max="17" width="16" hidden="0" customWidth="1"/>
    <x:col min="18" max="18" width="18" hidden="0" customWidth="1"/>
    <x:col min="19" max="19" width="16" hidden="0" customWidth="1"/>
    <x:col min="20" max="20" width="34" hidden="0" customWidth="1"/>
  </x:cols>
  <x:sheetData>
    <x:row r="1">
      <x:c r="A1" s="6" t="str">
        <x:v>Observation ID</x:v>
      </x:c>
      <x:c r="B1" s="6" t="str">
        <x:v>Interview ID</x:v>
      </x:c>
      <x:c r="C1" s="6" t="str">
        <x:v>Observation Date</x:v>
      </x:c>
      <x:c r="D1" s="6" t="str">
        <x:v>Measurement Method</x:v>
      </x:c>
      <x:c r="E1" s="6" t="str">
        <x:v>Workflow Scope</x:v>
      </x:c>
      <x:c r="F1" s="6" t="str">
        <x:v>Documents</x:v>
      </x:c>
      <x:c r="G1" s="6" t="str">
        <x:v>Pages</x:v>
      </x:c>
      <x:c r="H1" s="6" t="str">
        <x:v>Header/Line Items</x:v>
      </x:c>
      <x:c r="I1" s="6" t="str">
        <x:v>Source Types</x:v>
      </x:c>
      <x:c r="J1" s="6" t="str">
        <x:v>Countries</x:v>
      </x:c>
      <x:c r="K1" s="6" t="str">
        <x:v>Currencies</x:v>
      </x:c>
      <x:c r="L1" s="6" t="str">
        <x:v>Active Seconds</x:v>
      </x:c>
      <x:c r="M1" s="6" t="str">
        <x:v>System Wait Seconds</x:v>
      </x:c>
      <x:c r="N1" s="6" t="str">
        <x:v>Rework Seconds</x:v>
      </x:c>
      <x:c r="O1" s="6" t="str">
        <x:v>External Wait Minutes</x:v>
      </x:c>
      <x:c r="P1" s="6" t="str">
        <x:v>Active Min/Doc</x:v>
      </x:c>
      <x:c r="Q1" s="6" t="str">
        <x:v>Rework Min/Doc</x:v>
      </x:c>
      <x:c r="R1" s="6" t="str">
        <x:v>Docs/Operator Hour</x:v>
      </x:c>
      <x:c r="S1" s="6" t="str">
        <x:v>Usable Baseline?</x:v>
      </x:c>
      <x:c r="T1" s="6" t="str">
        <x:v>Notes</x:v>
      </x:c>
      <x:c r="U1" s="28"/>
    </x:row>
    <x:row r="2">
      <x:c r="A2" s="28" t="str">
        <x:v>OBS-001</x:v>
      </x:c>
      <x:c r="B2" s="28" t="str"/>
      <x:c r="C2" s="30"/>
      <x:c r="D2" s="28" t="str">
        <x:v>GENERAL_ESTIMATE</x:v>
      </x:c>
      <x:c r="E2" s="28" t="str"/>
      <x:c r="F2" s="28"/>
      <x:c r="G2" s="28"/>
      <x:c r="H2" s="28" t="str">
        <x:v>Header-only</x:v>
      </x:c>
      <x:c r="I2" s="28" t="str"/>
      <x:c r="J2" s="28" t="str"/>
      <x:c r="K2" s="28" t="str"/>
      <x:c r="L2" s="28" t="n">
        <x:f>SUMIF('Stage Timing'!$B$2:$B$500,A2,'Stage Timing'!$G$2:$G$500)</x:f>
        <x:v>0</x:v>
      </x:c>
      <x:c r="M2" s="28" t="n">
        <x:f>SUMIF('Stage Timing'!$B$2:$B$500,A2,'Stage Timing'!$H$2:$H$500)</x:f>
        <x:v>0</x:v>
      </x:c>
      <x:c r="N2" s="28" t="n">
        <x:f>SUMIF('Stage Timing'!$B$2:$B$500,A2,'Stage Timing'!$I$2:$I$500)</x:f>
        <x:v>0</x:v>
      </x:c>
      <x:c r="O2" s="28"/>
      <x:c r="P2" s="32" t="str">
        <x:f>IF(F2&gt;0,L2/60/F2,"")</x:f>
      </x:c>
      <x:c r="Q2" s="32" t="str">
        <x:f>IF(F2&gt;0,N2/60/F2,"")</x:f>
      </x:c>
      <x:c r="R2" s="32" t="str">
        <x:f>IF(L2&gt;0,F2/(L2/3600),"")</x:f>
      </x:c>
      <x:c r="S2" s="28" t="str">
        <x:v>No</x:v>
      </x:c>
      <x:c r="T2" s="28" t="str"/>
      <x:c r="U2" s="28"/>
    </x:row>
    <x:row r="3">
      <x:c r="A3" s="28" t="str">
        <x:v>OBS-002</x:v>
      </x:c>
      <x:c r="B3" s="28" t="str"/>
      <x:c r="C3" s="30"/>
      <x:c r="D3" s="28" t="str">
        <x:v>GENERAL_ESTIMATE</x:v>
      </x:c>
      <x:c r="E3" s="28" t="str"/>
      <x:c r="F3" s="28"/>
      <x:c r="G3" s="28"/>
      <x:c r="H3" s="28" t="str">
        <x:v>Header-only</x:v>
      </x:c>
      <x:c r="I3" s="28" t="str"/>
      <x:c r="J3" s="28" t="str"/>
      <x:c r="K3" s="28" t="str"/>
      <x:c r="L3" s="28" t="n">
        <x:f>SUMIF('Stage Timing'!$B$2:$B$500,A3,'Stage Timing'!$G$2:$G$500)</x:f>
        <x:v>0</x:v>
      </x:c>
      <x:c r="M3" s="28" t="n">
        <x:f>SUMIF('Stage Timing'!$B$2:$B$500,A3,'Stage Timing'!$H$2:$H$500)</x:f>
        <x:v>0</x:v>
      </x:c>
      <x:c r="N3" s="28" t="n">
        <x:f>SUMIF('Stage Timing'!$B$2:$B$500,A3,'Stage Timing'!$I$2:$I$500)</x:f>
        <x:v>0</x:v>
      </x:c>
      <x:c r="O3" s="28"/>
      <x:c r="P3" s="32" t="str">
        <x:f>IF(F3&gt;0,L3/60/F3,"")</x:f>
      </x:c>
      <x:c r="Q3" s="32" t="str">
        <x:f>IF(F3&gt;0,N3/60/F3,"")</x:f>
      </x:c>
      <x:c r="R3" s="32" t="str">
        <x:f>IF(L3&gt;0,F3/(L3/3600),"")</x:f>
      </x:c>
      <x:c r="S3" s="28" t="str">
        <x:v>No</x:v>
      </x:c>
      <x:c r="T3" s="28" t="str"/>
      <x:c r="U3" s="28"/>
    </x:row>
    <x:row r="4">
      <x:c r="A4" s="28" t="str">
        <x:v>OBS-003</x:v>
      </x:c>
      <x:c r="B4" s="28" t="str"/>
      <x:c r="C4" s="30"/>
      <x:c r="D4" s="28" t="str">
        <x:v>GENERAL_ESTIMATE</x:v>
      </x:c>
      <x:c r="E4" s="28" t="str"/>
      <x:c r="F4" s="28"/>
      <x:c r="G4" s="28"/>
      <x:c r="H4" s="28" t="str">
        <x:v>Header-only</x:v>
      </x:c>
      <x:c r="I4" s="28" t="str"/>
      <x:c r="J4" s="28" t="str"/>
      <x:c r="K4" s="28" t="str"/>
      <x:c r="L4" s="28" t="n">
        <x:f>SUMIF('Stage Timing'!$B$2:$B$500,A4,'Stage Timing'!$G$2:$G$500)</x:f>
        <x:v>0</x:v>
      </x:c>
      <x:c r="M4" s="28" t="n">
        <x:f>SUMIF('Stage Timing'!$B$2:$B$500,A4,'Stage Timing'!$H$2:$H$500)</x:f>
        <x:v>0</x:v>
      </x:c>
      <x:c r="N4" s="28" t="n">
        <x:f>SUMIF('Stage Timing'!$B$2:$B$500,A4,'Stage Timing'!$I$2:$I$500)</x:f>
        <x:v>0</x:v>
      </x:c>
      <x:c r="O4" s="28"/>
      <x:c r="P4" s="32" t="str">
        <x:f>IF(F4&gt;0,L4/60/F4,"")</x:f>
      </x:c>
      <x:c r="Q4" s="32" t="str">
        <x:f>IF(F4&gt;0,N4/60/F4,"")</x:f>
      </x:c>
      <x:c r="R4" s="32" t="str">
        <x:f>IF(L4&gt;0,F4/(L4/3600),"")</x:f>
      </x:c>
      <x:c r="S4" s="28" t="str">
        <x:v>No</x:v>
      </x:c>
      <x:c r="T4" s="28" t="str"/>
      <x:c r="U4" s="28"/>
    </x:row>
    <x:row r="5">
      <x:c r="A5" s="28" t="str">
        <x:v>OBS-004</x:v>
      </x:c>
      <x:c r="B5" s="28" t="str"/>
      <x:c r="C5" s="30"/>
      <x:c r="D5" s="28" t="str">
        <x:v>GENERAL_ESTIMATE</x:v>
      </x:c>
      <x:c r="E5" s="28" t="str"/>
      <x:c r="F5" s="28"/>
      <x:c r="G5" s="28"/>
      <x:c r="H5" s="28" t="str">
        <x:v>Header-only</x:v>
      </x:c>
      <x:c r="I5" s="28" t="str"/>
      <x:c r="J5" s="28" t="str"/>
      <x:c r="K5" s="28" t="str"/>
      <x:c r="L5" s="28" t="n">
        <x:f>SUMIF('Stage Timing'!$B$2:$B$500,A5,'Stage Timing'!$G$2:$G$500)</x:f>
        <x:v>0</x:v>
      </x:c>
      <x:c r="M5" s="28" t="n">
        <x:f>SUMIF('Stage Timing'!$B$2:$B$500,A5,'Stage Timing'!$H$2:$H$500)</x:f>
        <x:v>0</x:v>
      </x:c>
      <x:c r="N5" s="28" t="n">
        <x:f>SUMIF('Stage Timing'!$B$2:$B$500,A5,'Stage Timing'!$I$2:$I$500)</x:f>
        <x:v>0</x:v>
      </x:c>
      <x:c r="O5" s="28"/>
      <x:c r="P5" s="32" t="str">
        <x:f>IF(F5&gt;0,L5/60/F5,"")</x:f>
      </x:c>
      <x:c r="Q5" s="32" t="str">
        <x:f>IF(F5&gt;0,N5/60/F5,"")</x:f>
      </x:c>
      <x:c r="R5" s="32" t="str">
        <x:f>IF(L5&gt;0,F5/(L5/3600),"")</x:f>
      </x:c>
      <x:c r="S5" s="28" t="str">
        <x:v>No</x:v>
      </x:c>
      <x:c r="T5" s="28" t="str"/>
      <x:c r="U5" s="28"/>
    </x:row>
    <x:row r="6">
      <x:c r="A6" s="28" t="str">
        <x:v>OBS-005</x:v>
      </x:c>
      <x:c r="B6" s="28" t="str"/>
      <x:c r="C6" s="30"/>
      <x:c r="D6" s="28" t="str">
        <x:v>GENERAL_ESTIMATE</x:v>
      </x:c>
      <x:c r="E6" s="28" t="str"/>
      <x:c r="F6" s="28"/>
      <x:c r="G6" s="28"/>
      <x:c r="H6" s="28" t="str">
        <x:v>Header-only</x:v>
      </x:c>
      <x:c r="I6" s="28" t="str"/>
      <x:c r="J6" s="28" t="str"/>
      <x:c r="K6" s="28" t="str"/>
      <x:c r="L6" s="28" t="n">
        <x:f>SUMIF('Stage Timing'!$B$2:$B$500,A6,'Stage Timing'!$G$2:$G$500)</x:f>
        <x:v>0</x:v>
      </x:c>
      <x:c r="M6" s="28" t="n">
        <x:f>SUMIF('Stage Timing'!$B$2:$B$500,A6,'Stage Timing'!$H$2:$H$500)</x:f>
        <x:v>0</x:v>
      </x:c>
      <x:c r="N6" s="28" t="n">
        <x:f>SUMIF('Stage Timing'!$B$2:$B$500,A6,'Stage Timing'!$I$2:$I$500)</x:f>
        <x:v>0</x:v>
      </x:c>
      <x:c r="O6" s="28"/>
      <x:c r="P6" s="32" t="str">
        <x:f>IF(F6&gt;0,L6/60/F6,"")</x:f>
      </x:c>
      <x:c r="Q6" s="32" t="str">
        <x:f>IF(F6&gt;0,N6/60/F6,"")</x:f>
      </x:c>
      <x:c r="R6" s="32" t="str">
        <x:f>IF(L6&gt;0,F6/(L6/3600),"")</x:f>
      </x:c>
      <x:c r="S6" s="28" t="str">
        <x:v>No</x:v>
      </x:c>
      <x:c r="T6" s="28" t="str"/>
      <x:c r="U6" s="28"/>
    </x:row>
    <x:row r="7">
      <x:c r="A7" s="28" t="str">
        <x:v>OBS-006</x:v>
      </x:c>
      <x:c r="B7" s="28" t="str"/>
      <x:c r="C7" s="30"/>
      <x:c r="D7" s="28" t="str">
        <x:v>GENERAL_ESTIMATE</x:v>
      </x:c>
      <x:c r="E7" s="28" t="str"/>
      <x:c r="F7" s="28"/>
      <x:c r="G7" s="28"/>
      <x:c r="H7" s="28" t="str">
        <x:v>Header-only</x:v>
      </x:c>
      <x:c r="I7" s="28" t="str"/>
      <x:c r="J7" s="28" t="str"/>
      <x:c r="K7" s="28" t="str"/>
      <x:c r="L7" s="28" t="n">
        <x:f>SUMIF('Stage Timing'!$B$2:$B$500,A7,'Stage Timing'!$G$2:$G$500)</x:f>
        <x:v>0</x:v>
      </x:c>
      <x:c r="M7" s="28" t="n">
        <x:f>SUMIF('Stage Timing'!$B$2:$B$500,A7,'Stage Timing'!$H$2:$H$500)</x:f>
        <x:v>0</x:v>
      </x:c>
      <x:c r="N7" s="28" t="n">
        <x:f>SUMIF('Stage Timing'!$B$2:$B$500,A7,'Stage Timing'!$I$2:$I$500)</x:f>
        <x:v>0</x:v>
      </x:c>
      <x:c r="O7" s="28"/>
      <x:c r="P7" s="32" t="str">
        <x:f>IF(F7&gt;0,L7/60/F7,"")</x:f>
      </x:c>
      <x:c r="Q7" s="32" t="str">
        <x:f>IF(F7&gt;0,N7/60/F7,"")</x:f>
      </x:c>
      <x:c r="R7" s="32" t="str">
        <x:f>IF(L7&gt;0,F7/(L7/3600),"")</x:f>
      </x:c>
      <x:c r="S7" s="28" t="str">
        <x:v>No</x:v>
      </x:c>
      <x:c r="T7" s="28" t="str"/>
      <x:c r="U7" s="28"/>
    </x:row>
    <x:row r="8">
      <x:c r="A8" s="28" t="str">
        <x:v>OBS-007</x:v>
      </x:c>
      <x:c r="B8" s="28" t="str"/>
      <x:c r="C8" s="30"/>
      <x:c r="D8" s="28" t="str">
        <x:v>GENERAL_ESTIMATE</x:v>
      </x:c>
      <x:c r="E8" s="28" t="str"/>
      <x:c r="F8" s="28"/>
      <x:c r="G8" s="28"/>
      <x:c r="H8" s="28" t="str">
        <x:v>Header-only</x:v>
      </x:c>
      <x:c r="I8" s="28" t="str"/>
      <x:c r="J8" s="28" t="str"/>
      <x:c r="K8" s="28" t="str"/>
      <x:c r="L8" s="28" t="n">
        <x:f>SUMIF('Stage Timing'!$B$2:$B$500,A8,'Stage Timing'!$G$2:$G$500)</x:f>
        <x:v>0</x:v>
      </x:c>
      <x:c r="M8" s="28" t="n">
        <x:f>SUMIF('Stage Timing'!$B$2:$B$500,A8,'Stage Timing'!$H$2:$H$500)</x:f>
        <x:v>0</x:v>
      </x:c>
      <x:c r="N8" s="28" t="n">
        <x:f>SUMIF('Stage Timing'!$B$2:$B$500,A8,'Stage Timing'!$I$2:$I$500)</x:f>
        <x:v>0</x:v>
      </x:c>
      <x:c r="O8" s="28"/>
      <x:c r="P8" s="32" t="str">
        <x:f>IF(F8&gt;0,L8/60/F8,"")</x:f>
      </x:c>
      <x:c r="Q8" s="32" t="str">
        <x:f>IF(F8&gt;0,N8/60/F8,"")</x:f>
      </x:c>
      <x:c r="R8" s="32" t="str">
        <x:f>IF(L8&gt;0,F8/(L8/3600),"")</x:f>
      </x:c>
      <x:c r="S8" s="28" t="str">
        <x:v>No</x:v>
      </x:c>
      <x:c r="T8" s="28" t="str"/>
      <x:c r="U8" s="28"/>
    </x:row>
    <x:row r="9">
      <x:c r="A9" s="28" t="str">
        <x:v>OBS-008</x:v>
      </x:c>
      <x:c r="B9" s="28" t="str"/>
      <x:c r="C9" s="30"/>
      <x:c r="D9" s="28" t="str">
        <x:v>GENERAL_ESTIMATE</x:v>
      </x:c>
      <x:c r="E9" s="28" t="str"/>
      <x:c r="F9" s="28"/>
      <x:c r="G9" s="28"/>
      <x:c r="H9" s="28" t="str">
        <x:v>Header-only</x:v>
      </x:c>
      <x:c r="I9" s="28" t="str"/>
      <x:c r="J9" s="28" t="str"/>
      <x:c r="K9" s="28" t="str"/>
      <x:c r="L9" s="28" t="n">
        <x:f>SUMIF('Stage Timing'!$B$2:$B$500,A9,'Stage Timing'!$G$2:$G$500)</x:f>
        <x:v>0</x:v>
      </x:c>
      <x:c r="M9" s="28" t="n">
        <x:f>SUMIF('Stage Timing'!$B$2:$B$500,A9,'Stage Timing'!$H$2:$H$500)</x:f>
        <x:v>0</x:v>
      </x:c>
      <x:c r="N9" s="28" t="n">
        <x:f>SUMIF('Stage Timing'!$B$2:$B$500,A9,'Stage Timing'!$I$2:$I$500)</x:f>
        <x:v>0</x:v>
      </x:c>
      <x:c r="O9" s="28"/>
      <x:c r="P9" s="32" t="str">
        <x:f>IF(F9&gt;0,L9/60/F9,"")</x:f>
      </x:c>
      <x:c r="Q9" s="32" t="str">
        <x:f>IF(F9&gt;0,N9/60/F9,"")</x:f>
      </x:c>
      <x:c r="R9" s="32" t="str">
        <x:f>IF(L9&gt;0,F9/(L9/3600),"")</x:f>
      </x:c>
      <x:c r="S9" s="28" t="str">
        <x:v>No</x:v>
      </x:c>
      <x:c r="T9" s="28" t="str"/>
      <x:c r="U9" s="28"/>
    </x:row>
    <x:row r="10">
      <x:c r="A10" s="28" t="str">
        <x:v>OBS-009</x:v>
      </x:c>
      <x:c r="B10" s="28" t="str"/>
      <x:c r="C10" s="30"/>
      <x:c r="D10" s="28" t="str">
        <x:v>GENERAL_ESTIMATE</x:v>
      </x:c>
      <x:c r="E10" s="28" t="str"/>
      <x:c r="F10" s="28"/>
      <x:c r="G10" s="28"/>
      <x:c r="H10" s="28" t="str">
        <x:v>Header-only</x:v>
      </x:c>
      <x:c r="I10" s="28" t="str"/>
      <x:c r="J10" s="28" t="str"/>
      <x:c r="K10" s="28" t="str"/>
      <x:c r="L10" s="28" t="n">
        <x:f>SUMIF('Stage Timing'!$B$2:$B$500,A10,'Stage Timing'!$G$2:$G$500)</x:f>
        <x:v>0</x:v>
      </x:c>
      <x:c r="M10" s="28" t="n">
        <x:f>SUMIF('Stage Timing'!$B$2:$B$500,A10,'Stage Timing'!$H$2:$H$500)</x:f>
        <x:v>0</x:v>
      </x:c>
      <x:c r="N10" s="28" t="n">
        <x:f>SUMIF('Stage Timing'!$B$2:$B$500,A10,'Stage Timing'!$I$2:$I$500)</x:f>
        <x:v>0</x:v>
      </x:c>
      <x:c r="O10" s="28"/>
      <x:c r="P10" s="32" t="str">
        <x:f>IF(F10&gt;0,L10/60/F10,"")</x:f>
      </x:c>
      <x:c r="Q10" s="32" t="str">
        <x:f>IF(F10&gt;0,N10/60/F10,"")</x:f>
      </x:c>
      <x:c r="R10" s="32" t="str">
        <x:f>IF(L10&gt;0,F10/(L10/3600),"")</x:f>
      </x:c>
      <x:c r="S10" s="28" t="str">
        <x:v>No</x:v>
      </x:c>
      <x:c r="T10" s="28" t="str"/>
      <x:c r="U10" s="28"/>
    </x:row>
    <x:row r="11">
      <x:c r="A11" s="28" t="str">
        <x:v>OBS-010</x:v>
      </x:c>
      <x:c r="B11" s="28" t="str"/>
      <x:c r="C11" s="30"/>
      <x:c r="D11" s="28" t="str">
        <x:v>GENERAL_ESTIMATE</x:v>
      </x:c>
      <x:c r="E11" s="28" t="str"/>
      <x:c r="F11" s="28"/>
      <x:c r="G11" s="28"/>
      <x:c r="H11" s="28" t="str">
        <x:v>Header-only</x:v>
      </x:c>
      <x:c r="I11" s="28" t="str"/>
      <x:c r="J11" s="28" t="str"/>
      <x:c r="K11" s="28" t="str"/>
      <x:c r="L11" s="28" t="n">
        <x:f>SUMIF('Stage Timing'!$B$2:$B$500,A11,'Stage Timing'!$G$2:$G$500)</x:f>
        <x:v>0</x:v>
      </x:c>
      <x:c r="M11" s="28" t="n">
        <x:f>SUMIF('Stage Timing'!$B$2:$B$500,A11,'Stage Timing'!$H$2:$H$500)</x:f>
        <x:v>0</x:v>
      </x:c>
      <x:c r="N11" s="28" t="n">
        <x:f>SUMIF('Stage Timing'!$B$2:$B$500,A11,'Stage Timing'!$I$2:$I$500)</x:f>
        <x:v>0</x:v>
      </x:c>
      <x:c r="O11" s="28"/>
      <x:c r="P11" s="32" t="str">
        <x:f>IF(F11&gt;0,L11/60/F11,"")</x:f>
      </x:c>
      <x:c r="Q11" s="32" t="str">
        <x:f>IF(F11&gt;0,N11/60/F11,"")</x:f>
      </x:c>
      <x:c r="R11" s="32" t="str">
        <x:f>IF(L11&gt;0,F11/(L11/3600),"")</x:f>
      </x:c>
      <x:c r="S11" s="28" t="str">
        <x:v>No</x:v>
      </x:c>
      <x:c r="T11" s="28" t="str"/>
      <x:c r="U11" s="28"/>
    </x:row>
    <x:row r="12">
      <x:c r="A12" s="28" t="str">
        <x:v>OBS-011</x:v>
      </x:c>
      <x:c r="B12" s="28" t="str"/>
      <x:c r="C12" s="30"/>
      <x:c r="D12" s="28" t="str">
        <x:v>GENERAL_ESTIMATE</x:v>
      </x:c>
      <x:c r="E12" s="28" t="str"/>
      <x:c r="F12" s="28"/>
      <x:c r="G12" s="28"/>
      <x:c r="H12" s="28" t="str">
        <x:v>Header-only</x:v>
      </x:c>
      <x:c r="I12" s="28" t="str"/>
      <x:c r="J12" s="28" t="str"/>
      <x:c r="K12" s="28" t="str"/>
      <x:c r="L12" s="28" t="n">
        <x:f>SUMIF('Stage Timing'!$B$2:$B$500,A12,'Stage Timing'!$G$2:$G$500)</x:f>
        <x:v>0</x:v>
      </x:c>
      <x:c r="M12" s="28" t="n">
        <x:f>SUMIF('Stage Timing'!$B$2:$B$500,A12,'Stage Timing'!$H$2:$H$500)</x:f>
        <x:v>0</x:v>
      </x:c>
      <x:c r="N12" s="28" t="n">
        <x:f>SUMIF('Stage Timing'!$B$2:$B$500,A12,'Stage Timing'!$I$2:$I$500)</x:f>
        <x:v>0</x:v>
      </x:c>
      <x:c r="O12" s="28"/>
      <x:c r="P12" s="32" t="str">
        <x:f>IF(F12&gt;0,L12/60/F12,"")</x:f>
      </x:c>
      <x:c r="Q12" s="32" t="str">
        <x:f>IF(F12&gt;0,N12/60/F12,"")</x:f>
      </x:c>
      <x:c r="R12" s="32" t="str">
        <x:f>IF(L12&gt;0,F12/(L12/3600),"")</x:f>
      </x:c>
      <x:c r="S12" s="28" t="str">
        <x:v>No</x:v>
      </x:c>
      <x:c r="T12" s="28" t="str"/>
      <x:c r="U12" s="28"/>
    </x:row>
    <x:row r="13">
      <x:c r="A13" s="28" t="str">
        <x:v>OBS-012</x:v>
      </x:c>
      <x:c r="B13" s="28" t="str"/>
      <x:c r="C13" s="30"/>
      <x:c r="D13" s="28" t="str">
        <x:v>GENERAL_ESTIMATE</x:v>
      </x:c>
      <x:c r="E13" s="28" t="str"/>
      <x:c r="F13" s="28"/>
      <x:c r="G13" s="28"/>
      <x:c r="H13" s="28" t="str">
        <x:v>Header-only</x:v>
      </x:c>
      <x:c r="I13" s="28" t="str"/>
      <x:c r="J13" s="28" t="str"/>
      <x:c r="K13" s="28" t="str"/>
      <x:c r="L13" s="28" t="n">
        <x:f>SUMIF('Stage Timing'!$B$2:$B$500,A13,'Stage Timing'!$G$2:$G$500)</x:f>
        <x:v>0</x:v>
      </x:c>
      <x:c r="M13" s="28" t="n">
        <x:f>SUMIF('Stage Timing'!$B$2:$B$500,A13,'Stage Timing'!$H$2:$H$500)</x:f>
        <x:v>0</x:v>
      </x:c>
      <x:c r="N13" s="28" t="n">
        <x:f>SUMIF('Stage Timing'!$B$2:$B$500,A13,'Stage Timing'!$I$2:$I$500)</x:f>
        <x:v>0</x:v>
      </x:c>
      <x:c r="O13" s="28"/>
      <x:c r="P13" s="32" t="str">
        <x:f>IF(F13&gt;0,L13/60/F13,"")</x:f>
      </x:c>
      <x:c r="Q13" s="32" t="str">
        <x:f>IF(F13&gt;0,N13/60/F13,"")</x:f>
      </x:c>
      <x:c r="R13" s="32" t="str">
        <x:f>IF(L13&gt;0,F13/(L13/3600),"")</x:f>
      </x:c>
      <x:c r="S13" s="28" t="str">
        <x:v>No</x:v>
      </x:c>
      <x:c r="T13" s="28" t="str"/>
      <x:c r="U13" s="28"/>
    </x:row>
    <x:row r="14">
      <x:c r="A14" s="28" t="str">
        <x:v>OBS-013</x:v>
      </x:c>
      <x:c r="B14" s="28" t="str"/>
      <x:c r="C14" s="30"/>
      <x:c r="D14" s="28" t="str">
        <x:v>GENERAL_ESTIMATE</x:v>
      </x:c>
      <x:c r="E14" s="28" t="str"/>
      <x:c r="F14" s="28"/>
      <x:c r="G14" s="28"/>
      <x:c r="H14" s="28" t="str">
        <x:v>Header-only</x:v>
      </x:c>
      <x:c r="I14" s="28" t="str"/>
      <x:c r="J14" s="28" t="str"/>
      <x:c r="K14" s="28" t="str"/>
      <x:c r="L14" s="28" t="n">
        <x:f>SUMIF('Stage Timing'!$B$2:$B$500,A14,'Stage Timing'!$G$2:$G$500)</x:f>
        <x:v>0</x:v>
      </x:c>
      <x:c r="M14" s="28" t="n">
        <x:f>SUMIF('Stage Timing'!$B$2:$B$500,A14,'Stage Timing'!$H$2:$H$500)</x:f>
        <x:v>0</x:v>
      </x:c>
      <x:c r="N14" s="28" t="n">
        <x:f>SUMIF('Stage Timing'!$B$2:$B$500,A14,'Stage Timing'!$I$2:$I$500)</x:f>
        <x:v>0</x:v>
      </x:c>
      <x:c r="O14" s="28"/>
      <x:c r="P14" s="32" t="str">
        <x:f>IF(F14&gt;0,L14/60/F14,"")</x:f>
      </x:c>
      <x:c r="Q14" s="32" t="str">
        <x:f>IF(F14&gt;0,N14/60/F14,"")</x:f>
      </x:c>
      <x:c r="R14" s="32" t="str">
        <x:f>IF(L14&gt;0,F14/(L14/3600),"")</x:f>
      </x:c>
      <x:c r="S14" s="28" t="str">
        <x:v>No</x:v>
      </x:c>
      <x:c r="T14" s="28" t="str"/>
      <x:c r="U14" s="28"/>
    </x:row>
    <x:row r="15">
      <x:c r="A15" s="28" t="str">
        <x:v>OBS-014</x:v>
      </x:c>
      <x:c r="B15" s="28" t="str"/>
      <x:c r="C15" s="30"/>
      <x:c r="D15" s="28" t="str">
        <x:v>GENERAL_ESTIMATE</x:v>
      </x:c>
      <x:c r="E15" s="28" t="str"/>
      <x:c r="F15" s="28"/>
      <x:c r="G15" s="28"/>
      <x:c r="H15" s="28" t="str">
        <x:v>Header-only</x:v>
      </x:c>
      <x:c r="I15" s="28" t="str"/>
      <x:c r="J15" s="28" t="str"/>
      <x:c r="K15" s="28" t="str"/>
      <x:c r="L15" s="28" t="n">
        <x:f>SUMIF('Stage Timing'!$B$2:$B$500,A15,'Stage Timing'!$G$2:$G$500)</x:f>
        <x:v>0</x:v>
      </x:c>
      <x:c r="M15" s="28" t="n">
        <x:f>SUMIF('Stage Timing'!$B$2:$B$500,A15,'Stage Timing'!$H$2:$H$500)</x:f>
        <x:v>0</x:v>
      </x:c>
      <x:c r="N15" s="28" t="n">
        <x:f>SUMIF('Stage Timing'!$B$2:$B$500,A15,'Stage Timing'!$I$2:$I$500)</x:f>
        <x:v>0</x:v>
      </x:c>
      <x:c r="O15" s="28"/>
      <x:c r="P15" s="32" t="str">
        <x:f>IF(F15&gt;0,L15/60/F15,"")</x:f>
      </x:c>
      <x:c r="Q15" s="32" t="str">
        <x:f>IF(F15&gt;0,N15/60/F15,"")</x:f>
      </x:c>
      <x:c r="R15" s="32" t="str">
        <x:f>IF(L15&gt;0,F15/(L15/3600),"")</x:f>
      </x:c>
      <x:c r="S15" s="28" t="str">
        <x:v>No</x:v>
      </x:c>
      <x:c r="T15" s="28" t="str"/>
      <x:c r="U15" s="28"/>
    </x:row>
    <x:row r="16">
      <x:c r="A16" s="28" t="str">
        <x:v>OBS-015</x:v>
      </x:c>
      <x:c r="B16" s="28" t="str"/>
      <x:c r="C16" s="30"/>
      <x:c r="D16" s="28" t="str">
        <x:v>GENERAL_ESTIMATE</x:v>
      </x:c>
      <x:c r="E16" s="28" t="str"/>
      <x:c r="F16" s="28"/>
      <x:c r="G16" s="28"/>
      <x:c r="H16" s="28" t="str">
        <x:v>Header-only</x:v>
      </x:c>
      <x:c r="I16" s="28" t="str"/>
      <x:c r="J16" s="28" t="str"/>
      <x:c r="K16" s="28" t="str"/>
      <x:c r="L16" s="28" t="n">
        <x:f>SUMIF('Stage Timing'!$B$2:$B$500,A16,'Stage Timing'!$G$2:$G$500)</x:f>
        <x:v>0</x:v>
      </x:c>
      <x:c r="M16" s="28" t="n">
        <x:f>SUMIF('Stage Timing'!$B$2:$B$500,A16,'Stage Timing'!$H$2:$H$500)</x:f>
        <x:v>0</x:v>
      </x:c>
      <x:c r="N16" s="28" t="n">
        <x:f>SUMIF('Stage Timing'!$B$2:$B$500,A16,'Stage Timing'!$I$2:$I$500)</x:f>
        <x:v>0</x:v>
      </x:c>
      <x:c r="O16" s="28"/>
      <x:c r="P16" s="32" t="str">
        <x:f>IF(F16&gt;0,L16/60/F16,"")</x:f>
      </x:c>
      <x:c r="Q16" s="32" t="str">
        <x:f>IF(F16&gt;0,N16/60/F16,"")</x:f>
      </x:c>
      <x:c r="R16" s="32" t="str">
        <x:f>IF(L16&gt;0,F16/(L16/3600),"")</x:f>
      </x:c>
      <x:c r="S16" s="28" t="str">
        <x:v>No</x:v>
      </x:c>
      <x:c r="T16" s="28" t="str"/>
      <x:c r="U16" s="28"/>
    </x:row>
    <x:row r="17">
      <x:c r="A17" s="28" t="str">
        <x:v>OBS-016</x:v>
      </x:c>
      <x:c r="B17" s="28" t="str"/>
      <x:c r="C17" s="30"/>
      <x:c r="D17" s="28" t="str">
        <x:v>GENERAL_ESTIMATE</x:v>
      </x:c>
      <x:c r="E17" s="28" t="str"/>
      <x:c r="F17" s="28"/>
      <x:c r="G17" s="28"/>
      <x:c r="H17" s="28" t="str">
        <x:v>Header-only</x:v>
      </x:c>
      <x:c r="I17" s="28" t="str"/>
      <x:c r="J17" s="28" t="str"/>
      <x:c r="K17" s="28" t="str"/>
      <x:c r="L17" s="28" t="n">
        <x:f>SUMIF('Stage Timing'!$B$2:$B$500,A17,'Stage Timing'!$G$2:$G$500)</x:f>
        <x:v>0</x:v>
      </x:c>
      <x:c r="M17" s="28" t="n">
        <x:f>SUMIF('Stage Timing'!$B$2:$B$500,A17,'Stage Timing'!$H$2:$H$500)</x:f>
        <x:v>0</x:v>
      </x:c>
      <x:c r="N17" s="28" t="n">
        <x:f>SUMIF('Stage Timing'!$B$2:$B$500,A17,'Stage Timing'!$I$2:$I$500)</x:f>
        <x:v>0</x:v>
      </x:c>
      <x:c r="O17" s="28"/>
      <x:c r="P17" s="32" t="str">
        <x:f>IF(F17&gt;0,L17/60/F17,"")</x:f>
      </x:c>
      <x:c r="Q17" s="32" t="str">
        <x:f>IF(F17&gt;0,N17/60/F17,"")</x:f>
      </x:c>
      <x:c r="R17" s="32" t="str">
        <x:f>IF(L17&gt;0,F17/(L17/3600),"")</x:f>
      </x:c>
      <x:c r="S17" s="28" t="str">
        <x:v>No</x:v>
      </x:c>
      <x:c r="T17" s="28" t="str"/>
      <x:c r="U17" s="28"/>
    </x:row>
    <x:row r="18">
      <x:c r="A18" s="28" t="str">
        <x:v>OBS-017</x:v>
      </x:c>
      <x:c r="B18" s="28" t="str"/>
      <x:c r="C18" s="30"/>
      <x:c r="D18" s="28" t="str">
        <x:v>GENERAL_ESTIMATE</x:v>
      </x:c>
      <x:c r="E18" s="28" t="str"/>
      <x:c r="F18" s="28"/>
      <x:c r="G18" s="28"/>
      <x:c r="H18" s="28" t="str">
        <x:v>Header-only</x:v>
      </x:c>
      <x:c r="I18" s="28" t="str"/>
      <x:c r="J18" s="28" t="str"/>
      <x:c r="K18" s="28" t="str"/>
      <x:c r="L18" s="28" t="n">
        <x:f>SUMIF('Stage Timing'!$B$2:$B$500,A18,'Stage Timing'!$G$2:$G$500)</x:f>
        <x:v>0</x:v>
      </x:c>
      <x:c r="M18" s="28" t="n">
        <x:f>SUMIF('Stage Timing'!$B$2:$B$500,A18,'Stage Timing'!$H$2:$H$500)</x:f>
        <x:v>0</x:v>
      </x:c>
      <x:c r="N18" s="28" t="n">
        <x:f>SUMIF('Stage Timing'!$B$2:$B$500,A18,'Stage Timing'!$I$2:$I$500)</x:f>
        <x:v>0</x:v>
      </x:c>
      <x:c r="O18" s="28"/>
      <x:c r="P18" s="32" t="str">
        <x:f>IF(F18&gt;0,L18/60/F18,"")</x:f>
      </x:c>
      <x:c r="Q18" s="32" t="str">
        <x:f>IF(F18&gt;0,N18/60/F18,"")</x:f>
      </x:c>
      <x:c r="R18" s="32" t="str">
        <x:f>IF(L18&gt;0,F18/(L18/3600),"")</x:f>
      </x:c>
      <x:c r="S18" s="28" t="str">
        <x:v>No</x:v>
      </x:c>
      <x:c r="T18" s="28" t="str"/>
      <x:c r="U18" s="28"/>
    </x:row>
    <x:row r="19">
      <x:c r="A19" s="28" t="str">
        <x:v>OBS-018</x:v>
      </x:c>
      <x:c r="B19" s="28" t="str"/>
      <x:c r="C19" s="30"/>
      <x:c r="D19" s="28" t="str">
        <x:v>GENERAL_ESTIMATE</x:v>
      </x:c>
      <x:c r="E19" s="28" t="str"/>
      <x:c r="F19" s="28"/>
      <x:c r="G19" s="28"/>
      <x:c r="H19" s="28" t="str">
        <x:v>Header-only</x:v>
      </x:c>
      <x:c r="I19" s="28" t="str"/>
      <x:c r="J19" s="28" t="str"/>
      <x:c r="K19" s="28" t="str"/>
      <x:c r="L19" s="28" t="n">
        <x:f>SUMIF('Stage Timing'!$B$2:$B$500,A19,'Stage Timing'!$G$2:$G$500)</x:f>
        <x:v>0</x:v>
      </x:c>
      <x:c r="M19" s="28" t="n">
        <x:f>SUMIF('Stage Timing'!$B$2:$B$500,A19,'Stage Timing'!$H$2:$H$500)</x:f>
        <x:v>0</x:v>
      </x:c>
      <x:c r="N19" s="28" t="n">
        <x:f>SUMIF('Stage Timing'!$B$2:$B$500,A19,'Stage Timing'!$I$2:$I$500)</x:f>
        <x:v>0</x:v>
      </x:c>
      <x:c r="O19" s="28"/>
      <x:c r="P19" s="32" t="str">
        <x:f>IF(F19&gt;0,L19/60/F19,"")</x:f>
      </x:c>
      <x:c r="Q19" s="32" t="str">
        <x:f>IF(F19&gt;0,N19/60/F19,"")</x:f>
      </x:c>
      <x:c r="R19" s="32" t="str">
        <x:f>IF(L19&gt;0,F19/(L19/3600),"")</x:f>
      </x:c>
      <x:c r="S19" s="28" t="str">
        <x:v>No</x:v>
      </x:c>
      <x:c r="T19" s="28" t="str"/>
      <x:c r="U19" s="28"/>
    </x:row>
    <x:row r="20">
      <x:c r="A20" s="28" t="str">
        <x:v>OBS-019</x:v>
      </x:c>
      <x:c r="B20" s="28" t="str"/>
      <x:c r="C20" s="30"/>
      <x:c r="D20" s="28" t="str">
        <x:v>GENERAL_ESTIMATE</x:v>
      </x:c>
      <x:c r="E20" s="28" t="str"/>
      <x:c r="F20" s="28"/>
      <x:c r="G20" s="28"/>
      <x:c r="H20" s="28" t="str">
        <x:v>Header-only</x:v>
      </x:c>
      <x:c r="I20" s="28" t="str"/>
      <x:c r="J20" s="28" t="str"/>
      <x:c r="K20" s="28" t="str"/>
      <x:c r="L20" s="28" t="n">
        <x:f>SUMIF('Stage Timing'!$B$2:$B$500,A20,'Stage Timing'!$G$2:$G$500)</x:f>
        <x:v>0</x:v>
      </x:c>
      <x:c r="M20" s="28" t="n">
        <x:f>SUMIF('Stage Timing'!$B$2:$B$500,A20,'Stage Timing'!$H$2:$H$500)</x:f>
        <x:v>0</x:v>
      </x:c>
      <x:c r="N20" s="28" t="n">
        <x:f>SUMIF('Stage Timing'!$B$2:$B$500,A20,'Stage Timing'!$I$2:$I$500)</x:f>
        <x:v>0</x:v>
      </x:c>
      <x:c r="O20" s="28"/>
      <x:c r="P20" s="32" t="str">
        <x:f>IF(F20&gt;0,L20/60/F20,"")</x:f>
      </x:c>
      <x:c r="Q20" s="32" t="str">
        <x:f>IF(F20&gt;0,N20/60/F20,"")</x:f>
      </x:c>
      <x:c r="R20" s="32" t="str">
        <x:f>IF(L20&gt;0,F20/(L20/3600),"")</x:f>
      </x:c>
      <x:c r="S20" s="28" t="str">
        <x:v>No</x:v>
      </x:c>
      <x:c r="T20" s="28" t="str"/>
      <x:c r="U20" s="28"/>
    </x:row>
    <x:row r="21">
      <x:c r="A21" s="28" t="str">
        <x:v>OBS-020</x:v>
      </x:c>
      <x:c r="B21" s="28" t="str"/>
      <x:c r="C21" s="30"/>
      <x:c r="D21" s="28" t="str">
        <x:v>GENERAL_ESTIMATE</x:v>
      </x:c>
      <x:c r="E21" s="28" t="str"/>
      <x:c r="F21" s="28"/>
      <x:c r="G21" s="28"/>
      <x:c r="H21" s="28" t="str">
        <x:v>Header-only</x:v>
      </x:c>
      <x:c r="I21" s="28" t="str"/>
      <x:c r="J21" s="28" t="str"/>
      <x:c r="K21" s="28" t="str"/>
      <x:c r="L21" s="28" t="n">
        <x:f>SUMIF('Stage Timing'!$B$2:$B$500,A21,'Stage Timing'!$G$2:$G$500)</x:f>
        <x:v>0</x:v>
      </x:c>
      <x:c r="M21" s="28" t="n">
        <x:f>SUMIF('Stage Timing'!$B$2:$B$500,A21,'Stage Timing'!$H$2:$H$500)</x:f>
        <x:v>0</x:v>
      </x:c>
      <x:c r="N21" s="28" t="n">
        <x:f>SUMIF('Stage Timing'!$B$2:$B$500,A21,'Stage Timing'!$I$2:$I$500)</x:f>
        <x:v>0</x:v>
      </x:c>
      <x:c r="O21" s="28"/>
      <x:c r="P21" s="32" t="str">
        <x:f>IF(F21&gt;0,L21/60/F21,"")</x:f>
      </x:c>
      <x:c r="Q21" s="32" t="str">
        <x:f>IF(F21&gt;0,N21/60/F21,"")</x:f>
      </x:c>
      <x:c r="R21" s="32" t="str">
        <x:f>IF(L21&gt;0,F21/(L21/3600),"")</x:f>
      </x:c>
      <x:c r="S21" s="28" t="str">
        <x:v>No</x:v>
      </x:c>
      <x:c r="T21" s="28" t="str"/>
      <x:c r="U21" s="28"/>
    </x:row>
    <x:row r="22">
      <x:c r="A22" s="28"/>
      <x:c r="B22" s="28"/>
      <x:c r="C22" s="30"/>
      <x:c r="D22" s="28"/>
      <x:c r="E22" s="28"/>
      <x:c r="F22" s="28"/>
      <x:c r="G22" s="28"/>
      <x:c r="H22" s="28"/>
      <x:c r="I22" s="28"/>
      <x:c r="J22" s="28"/>
      <x:c r="K22" s="28"/>
      <x:c r="L22" s="28" t="n">
        <x:f>SUMIF('Stage Timing'!$B$2:$B$500,A22,'Stage Timing'!$G$2:$G$500)</x:f>
        <x:v>0</x:v>
      </x:c>
      <x:c r="M22" s="28" t="n">
        <x:f>SUMIF('Stage Timing'!$B$2:$B$500,A22,'Stage Timing'!$H$2:$H$500)</x:f>
        <x:v>0</x:v>
      </x:c>
      <x:c r="N22" s="28" t="n">
        <x:f>SUMIF('Stage Timing'!$B$2:$B$500,A22,'Stage Timing'!$I$2:$I$500)</x:f>
        <x:v>0</x:v>
      </x:c>
      <x:c r="O22" s="28"/>
      <x:c r="P22" s="32" t="str">
        <x:f>IF(F22&gt;0,L22/60/F22,"")</x:f>
      </x:c>
      <x:c r="Q22" s="32" t="str">
        <x:f>IF(F22&gt;0,N22/60/F22,"")</x:f>
      </x:c>
      <x:c r="R22" s="32" t="str">
        <x:f>IF(L22&gt;0,F22/(L22/3600),"")</x:f>
      </x:c>
      <x:c r="S22" s="28"/>
      <x:c r="T22" s="28"/>
      <x:c r="U22" s="28"/>
    </x:row>
    <x:row r="23">
      <x:c r="A23" s="28"/>
      <x:c r="B23" s="28"/>
      <x:c r="C23" s="30"/>
      <x:c r="D23" s="28"/>
      <x:c r="E23" s="28"/>
      <x:c r="F23" s="28"/>
      <x:c r="G23" s="28"/>
      <x:c r="H23" s="28"/>
      <x:c r="I23" s="28"/>
      <x:c r="J23" s="28"/>
      <x:c r="K23" s="28"/>
      <x:c r="L23" s="28" t="n">
        <x:f>SUMIF('Stage Timing'!$B$2:$B$500,A23,'Stage Timing'!$G$2:$G$500)</x:f>
        <x:v>0</x:v>
      </x:c>
      <x:c r="M23" s="28" t="n">
        <x:f>SUMIF('Stage Timing'!$B$2:$B$500,A23,'Stage Timing'!$H$2:$H$500)</x:f>
        <x:v>0</x:v>
      </x:c>
      <x:c r="N23" s="28" t="n">
        <x:f>SUMIF('Stage Timing'!$B$2:$B$500,A23,'Stage Timing'!$I$2:$I$500)</x:f>
        <x:v>0</x:v>
      </x:c>
      <x:c r="O23" s="28"/>
      <x:c r="P23" s="32" t="str">
        <x:f>IF(F23&gt;0,L23/60/F23,"")</x:f>
      </x:c>
      <x:c r="Q23" s="32" t="str">
        <x:f>IF(F23&gt;0,N23/60/F23,"")</x:f>
      </x:c>
      <x:c r="R23" s="32" t="str">
        <x:f>IF(L23&gt;0,F23/(L23/3600),"")</x:f>
      </x:c>
      <x:c r="S23" s="28"/>
      <x:c r="T23" s="28"/>
      <x:c r="U23" s="28"/>
    </x:row>
    <x:row r="24">
      <x:c r="A24" s="28"/>
      <x:c r="B24" s="28"/>
      <x:c r="C24" s="30"/>
      <x:c r="D24" s="28"/>
      <x:c r="E24" s="28"/>
      <x:c r="F24" s="28"/>
      <x:c r="G24" s="28"/>
      <x:c r="H24" s="28"/>
      <x:c r="I24" s="28"/>
      <x:c r="J24" s="28"/>
      <x:c r="K24" s="28"/>
      <x:c r="L24" s="28" t="n">
        <x:f>SUMIF('Stage Timing'!$B$2:$B$500,A24,'Stage Timing'!$G$2:$G$500)</x:f>
        <x:v>0</x:v>
      </x:c>
      <x:c r="M24" s="28" t="n">
        <x:f>SUMIF('Stage Timing'!$B$2:$B$500,A24,'Stage Timing'!$H$2:$H$500)</x:f>
        <x:v>0</x:v>
      </x:c>
      <x:c r="N24" s="28" t="n">
        <x:f>SUMIF('Stage Timing'!$B$2:$B$500,A24,'Stage Timing'!$I$2:$I$500)</x:f>
        <x:v>0</x:v>
      </x:c>
      <x:c r="O24" s="28"/>
      <x:c r="P24" s="32" t="str">
        <x:f>IF(F24&gt;0,L24/60/F24,"")</x:f>
      </x:c>
      <x:c r="Q24" s="32" t="str">
        <x:f>IF(F24&gt;0,N24/60/F24,"")</x:f>
      </x:c>
      <x:c r="R24" s="32" t="str">
        <x:f>IF(L24&gt;0,F24/(L24/3600),"")</x:f>
      </x:c>
      <x:c r="S24" s="28"/>
      <x:c r="T24" s="28"/>
      <x:c r="U24" s="28"/>
    </x:row>
    <x:row r="25">
      <x:c r="A25" s="28"/>
      <x:c r="B25" s="28"/>
      <x:c r="C25" s="30"/>
      <x:c r="D25" s="28"/>
      <x:c r="E25" s="28"/>
      <x:c r="F25" s="28"/>
      <x:c r="G25" s="28"/>
      <x:c r="H25" s="28"/>
      <x:c r="I25" s="28"/>
      <x:c r="J25" s="28"/>
      <x:c r="K25" s="28"/>
      <x:c r="L25" s="28" t="n">
        <x:f>SUMIF('Stage Timing'!$B$2:$B$500,A25,'Stage Timing'!$G$2:$G$500)</x:f>
        <x:v>0</x:v>
      </x:c>
      <x:c r="M25" s="28" t="n">
        <x:f>SUMIF('Stage Timing'!$B$2:$B$500,A25,'Stage Timing'!$H$2:$H$500)</x:f>
        <x:v>0</x:v>
      </x:c>
      <x:c r="N25" s="28" t="n">
        <x:f>SUMIF('Stage Timing'!$B$2:$B$500,A25,'Stage Timing'!$I$2:$I$500)</x:f>
        <x:v>0</x:v>
      </x:c>
      <x:c r="O25" s="28"/>
      <x:c r="P25" s="32" t="str">
        <x:f>IF(F25&gt;0,L25/60/F25,"")</x:f>
      </x:c>
      <x:c r="Q25" s="32" t="str">
        <x:f>IF(F25&gt;0,N25/60/F25,"")</x:f>
      </x:c>
      <x:c r="R25" s="32" t="str">
        <x:f>IF(L25&gt;0,F25/(L25/3600),"")</x:f>
      </x:c>
      <x:c r="S25" s="28"/>
      <x:c r="T25" s="28"/>
      <x:c r="U25" s="28"/>
    </x:row>
    <x:row r="26">
      <x:c r="A26" s="28"/>
      <x:c r="B26" s="28"/>
      <x:c r="C26" s="30"/>
      <x:c r="D26" s="28"/>
      <x:c r="E26" s="28"/>
      <x:c r="F26" s="28"/>
      <x:c r="G26" s="28"/>
      <x:c r="H26" s="28"/>
      <x:c r="I26" s="28"/>
      <x:c r="J26" s="28"/>
      <x:c r="K26" s="28"/>
      <x:c r="L26" s="28" t="n">
        <x:f>SUMIF('Stage Timing'!$B$2:$B$500,A26,'Stage Timing'!$G$2:$G$500)</x:f>
        <x:v>0</x:v>
      </x:c>
      <x:c r="M26" s="28" t="n">
        <x:f>SUMIF('Stage Timing'!$B$2:$B$500,A26,'Stage Timing'!$H$2:$H$500)</x:f>
        <x:v>0</x:v>
      </x:c>
      <x:c r="N26" s="28" t="n">
        <x:f>SUMIF('Stage Timing'!$B$2:$B$500,A26,'Stage Timing'!$I$2:$I$500)</x:f>
        <x:v>0</x:v>
      </x:c>
      <x:c r="O26" s="28"/>
      <x:c r="P26" s="32" t="str">
        <x:f>IF(F26&gt;0,L26/60/F26,"")</x:f>
      </x:c>
      <x:c r="Q26" s="32" t="str">
        <x:f>IF(F26&gt;0,N26/60/F26,"")</x:f>
      </x:c>
      <x:c r="R26" s="32" t="str">
        <x:f>IF(L26&gt;0,F26/(L26/3600),"")</x:f>
      </x:c>
      <x:c r="S26" s="28"/>
      <x:c r="T26" s="28"/>
      <x:c r="U26" s="28"/>
    </x:row>
    <x:row r="27">
      <x:c r="A27" s="28"/>
      <x:c r="B27" s="28"/>
      <x:c r="C27" s="30"/>
      <x:c r="D27" s="28"/>
      <x:c r="E27" s="28"/>
      <x:c r="F27" s="28"/>
      <x:c r="G27" s="28"/>
      <x:c r="H27" s="28"/>
      <x:c r="I27" s="28"/>
      <x:c r="J27" s="28"/>
      <x:c r="K27" s="28"/>
      <x:c r="L27" s="28" t="n">
        <x:f>SUMIF('Stage Timing'!$B$2:$B$500,A27,'Stage Timing'!$G$2:$G$500)</x:f>
        <x:v>0</x:v>
      </x:c>
      <x:c r="M27" s="28" t="n">
        <x:f>SUMIF('Stage Timing'!$B$2:$B$500,A27,'Stage Timing'!$H$2:$H$500)</x:f>
        <x:v>0</x:v>
      </x:c>
      <x:c r="N27" s="28" t="n">
        <x:f>SUMIF('Stage Timing'!$B$2:$B$500,A27,'Stage Timing'!$I$2:$I$500)</x:f>
        <x:v>0</x:v>
      </x:c>
      <x:c r="O27" s="28"/>
      <x:c r="P27" s="32" t="str">
        <x:f>IF(F27&gt;0,L27/60/F27,"")</x:f>
      </x:c>
      <x:c r="Q27" s="32" t="str">
        <x:f>IF(F27&gt;0,N27/60/F27,"")</x:f>
      </x:c>
      <x:c r="R27" s="32" t="str">
        <x:f>IF(L27&gt;0,F27/(L27/3600),"")</x:f>
      </x:c>
      <x:c r="S27" s="28"/>
      <x:c r="T27" s="28"/>
      <x:c r="U27" s="28"/>
    </x:row>
    <x:row r="28">
      <x:c r="A28" s="28"/>
      <x:c r="B28" s="28"/>
      <x:c r="C28" s="30"/>
      <x:c r="D28" s="28"/>
      <x:c r="E28" s="28"/>
      <x:c r="F28" s="28"/>
      <x:c r="G28" s="28"/>
      <x:c r="H28" s="28"/>
      <x:c r="I28" s="28"/>
      <x:c r="J28" s="28"/>
      <x:c r="K28" s="28"/>
      <x:c r="L28" s="28" t="n">
        <x:f>SUMIF('Stage Timing'!$B$2:$B$500,A28,'Stage Timing'!$G$2:$G$500)</x:f>
        <x:v>0</x:v>
      </x:c>
      <x:c r="M28" s="28" t="n">
        <x:f>SUMIF('Stage Timing'!$B$2:$B$500,A28,'Stage Timing'!$H$2:$H$500)</x:f>
        <x:v>0</x:v>
      </x:c>
      <x:c r="N28" s="28" t="n">
        <x:f>SUMIF('Stage Timing'!$B$2:$B$500,A28,'Stage Timing'!$I$2:$I$500)</x:f>
        <x:v>0</x:v>
      </x:c>
      <x:c r="O28" s="28"/>
      <x:c r="P28" s="32" t="str">
        <x:f>IF(F28&gt;0,L28/60/F28,"")</x:f>
      </x:c>
      <x:c r="Q28" s="32" t="str">
        <x:f>IF(F28&gt;0,N28/60/F28,"")</x:f>
      </x:c>
      <x:c r="R28" s="32" t="str">
        <x:f>IF(L28&gt;0,F28/(L28/3600),"")</x:f>
      </x:c>
      <x:c r="S28" s="28"/>
      <x:c r="T28" s="28"/>
      <x:c r="U28" s="28"/>
    </x:row>
    <x:row r="29">
      <x:c r="A29" s="28"/>
      <x:c r="B29" s="28"/>
      <x:c r="C29" s="30"/>
      <x:c r="D29" s="28"/>
      <x:c r="E29" s="28"/>
      <x:c r="F29" s="28"/>
      <x:c r="G29" s="28"/>
      <x:c r="H29" s="28"/>
      <x:c r="I29" s="28"/>
      <x:c r="J29" s="28"/>
      <x:c r="K29" s="28"/>
      <x:c r="L29" s="28" t="n">
        <x:f>SUMIF('Stage Timing'!$B$2:$B$500,A29,'Stage Timing'!$G$2:$G$500)</x:f>
        <x:v>0</x:v>
      </x:c>
      <x:c r="M29" s="28" t="n">
        <x:f>SUMIF('Stage Timing'!$B$2:$B$500,A29,'Stage Timing'!$H$2:$H$500)</x:f>
        <x:v>0</x:v>
      </x:c>
      <x:c r="N29" s="28" t="n">
        <x:f>SUMIF('Stage Timing'!$B$2:$B$500,A29,'Stage Timing'!$I$2:$I$500)</x:f>
        <x:v>0</x:v>
      </x:c>
      <x:c r="O29" s="28"/>
      <x:c r="P29" s="32" t="str">
        <x:f>IF(F29&gt;0,L29/60/F29,"")</x:f>
      </x:c>
      <x:c r="Q29" s="32" t="str">
        <x:f>IF(F29&gt;0,N29/60/F29,"")</x:f>
      </x:c>
      <x:c r="R29" s="32" t="str">
        <x:f>IF(L29&gt;0,F29/(L29/3600),"")</x:f>
      </x:c>
      <x:c r="S29" s="28"/>
      <x:c r="T29" s="28"/>
      <x:c r="U29" s="28"/>
    </x:row>
    <x:row r="30">
      <x:c r="A30" s="28"/>
      <x:c r="B30" s="28"/>
      <x:c r="C30" s="30"/>
      <x:c r="D30" s="28"/>
      <x:c r="E30" s="28"/>
      <x:c r="F30" s="28"/>
      <x:c r="G30" s="28"/>
      <x:c r="H30" s="28"/>
      <x:c r="I30" s="28"/>
      <x:c r="J30" s="28"/>
      <x:c r="K30" s="28"/>
      <x:c r="L30" s="28" t="n">
        <x:f>SUMIF('Stage Timing'!$B$2:$B$500,A30,'Stage Timing'!$G$2:$G$500)</x:f>
        <x:v>0</x:v>
      </x:c>
      <x:c r="M30" s="28" t="n">
        <x:f>SUMIF('Stage Timing'!$B$2:$B$500,A30,'Stage Timing'!$H$2:$H$500)</x:f>
        <x:v>0</x:v>
      </x:c>
      <x:c r="N30" s="28" t="n">
        <x:f>SUMIF('Stage Timing'!$B$2:$B$500,A30,'Stage Timing'!$I$2:$I$500)</x:f>
        <x:v>0</x:v>
      </x:c>
      <x:c r="O30" s="28"/>
      <x:c r="P30" s="32" t="str">
        <x:f>IF(F30&gt;0,L30/60/F30,"")</x:f>
      </x:c>
      <x:c r="Q30" s="32" t="str">
        <x:f>IF(F30&gt;0,N30/60/F30,"")</x:f>
      </x:c>
      <x:c r="R30" s="32" t="str">
        <x:f>IF(L30&gt;0,F30/(L30/3600),"")</x:f>
      </x:c>
      <x:c r="S30" s="28"/>
      <x:c r="T30" s="28"/>
      <x:c r="U30" s="28"/>
    </x:row>
    <x:row r="31">
      <x:c r="A31" s="28"/>
      <x:c r="B31" s="28"/>
      <x:c r="C31" s="30"/>
      <x:c r="D31" s="28"/>
      <x:c r="E31" s="28"/>
      <x:c r="F31" s="28"/>
      <x:c r="G31" s="28"/>
      <x:c r="H31" s="28"/>
      <x:c r="I31" s="28"/>
      <x:c r="J31" s="28"/>
      <x:c r="K31" s="28"/>
      <x:c r="L31" s="28" t="n">
        <x:f>SUMIF('Stage Timing'!$B$2:$B$500,A31,'Stage Timing'!$G$2:$G$500)</x:f>
        <x:v>0</x:v>
      </x:c>
      <x:c r="M31" s="28" t="n">
        <x:f>SUMIF('Stage Timing'!$B$2:$B$500,A31,'Stage Timing'!$H$2:$H$500)</x:f>
        <x:v>0</x:v>
      </x:c>
      <x:c r="N31" s="28" t="n">
        <x:f>SUMIF('Stage Timing'!$B$2:$B$500,A31,'Stage Timing'!$I$2:$I$500)</x:f>
        <x:v>0</x:v>
      </x:c>
      <x:c r="O31" s="28"/>
      <x:c r="P31" s="32" t="str">
        <x:f>IF(F31&gt;0,L31/60/F31,"")</x:f>
      </x:c>
      <x:c r="Q31" s="32" t="str">
        <x:f>IF(F31&gt;0,N31/60/F31,"")</x:f>
      </x:c>
      <x:c r="R31" s="32" t="str">
        <x:f>IF(L31&gt;0,F31/(L31/3600),"")</x:f>
      </x:c>
      <x:c r="S31" s="28"/>
      <x:c r="T31" s="28"/>
      <x:c r="U31" s="28"/>
    </x:row>
    <x:row r="32">
      <x:c r="A32" s="28"/>
      <x:c r="B32" s="28"/>
      <x:c r="C32" s="30"/>
      <x:c r="D32" s="28"/>
      <x:c r="E32" s="28"/>
      <x:c r="F32" s="28"/>
      <x:c r="G32" s="28"/>
      <x:c r="H32" s="28"/>
      <x:c r="I32" s="28"/>
      <x:c r="J32" s="28"/>
      <x:c r="K32" s="28"/>
      <x:c r="L32" s="28" t="n">
        <x:f>SUMIF('Stage Timing'!$B$2:$B$500,A32,'Stage Timing'!$G$2:$G$500)</x:f>
        <x:v>0</x:v>
      </x:c>
      <x:c r="M32" s="28" t="n">
        <x:f>SUMIF('Stage Timing'!$B$2:$B$500,A32,'Stage Timing'!$H$2:$H$500)</x:f>
        <x:v>0</x:v>
      </x:c>
      <x:c r="N32" s="28" t="n">
        <x:f>SUMIF('Stage Timing'!$B$2:$B$500,A32,'Stage Timing'!$I$2:$I$500)</x:f>
        <x:v>0</x:v>
      </x:c>
      <x:c r="O32" s="28"/>
      <x:c r="P32" s="32" t="str">
        <x:f>IF(F32&gt;0,L32/60/F32,"")</x:f>
      </x:c>
      <x:c r="Q32" s="32" t="str">
        <x:f>IF(F32&gt;0,N32/60/F32,"")</x:f>
      </x:c>
      <x:c r="R32" s="32" t="str">
        <x:f>IF(L32&gt;0,F32/(L32/3600),"")</x:f>
      </x:c>
      <x:c r="S32" s="28"/>
      <x:c r="T32" s="28"/>
      <x:c r="U32" s="28"/>
    </x:row>
    <x:row r="33">
      <x:c r="A33" s="28"/>
      <x:c r="B33" s="28"/>
      <x:c r="C33" s="30"/>
      <x:c r="D33" s="28"/>
      <x:c r="E33" s="28"/>
      <x:c r="F33" s="28"/>
      <x:c r="G33" s="28"/>
      <x:c r="H33" s="28"/>
      <x:c r="I33" s="28"/>
      <x:c r="J33" s="28"/>
      <x:c r="K33" s="28"/>
      <x:c r="L33" s="28" t="n">
        <x:f>SUMIF('Stage Timing'!$B$2:$B$500,A33,'Stage Timing'!$G$2:$G$500)</x:f>
        <x:v>0</x:v>
      </x:c>
      <x:c r="M33" s="28" t="n">
        <x:f>SUMIF('Stage Timing'!$B$2:$B$500,A33,'Stage Timing'!$H$2:$H$500)</x:f>
        <x:v>0</x:v>
      </x:c>
      <x:c r="N33" s="28" t="n">
        <x:f>SUMIF('Stage Timing'!$B$2:$B$500,A33,'Stage Timing'!$I$2:$I$500)</x:f>
        <x:v>0</x:v>
      </x:c>
      <x:c r="O33" s="28"/>
      <x:c r="P33" s="32" t="str">
        <x:f>IF(F33&gt;0,L33/60/F33,"")</x:f>
      </x:c>
      <x:c r="Q33" s="32" t="str">
        <x:f>IF(F33&gt;0,N33/60/F33,"")</x:f>
      </x:c>
      <x:c r="R33" s="32" t="str">
        <x:f>IF(L33&gt;0,F33/(L33/3600),"")</x:f>
      </x:c>
      <x:c r="S33" s="28"/>
      <x:c r="T33" s="28"/>
      <x:c r="U33" s="28"/>
    </x:row>
    <x:row r="34">
      <x:c r="A34" s="28"/>
      <x:c r="B34" s="28"/>
      <x:c r="C34" s="30"/>
      <x:c r="D34" s="28"/>
      <x:c r="E34" s="28"/>
      <x:c r="F34" s="28"/>
      <x:c r="G34" s="28"/>
      <x:c r="H34" s="28"/>
      <x:c r="I34" s="28"/>
      <x:c r="J34" s="28"/>
      <x:c r="K34" s="28"/>
      <x:c r="L34" s="28" t="n">
        <x:f>SUMIF('Stage Timing'!$B$2:$B$500,A34,'Stage Timing'!$G$2:$G$500)</x:f>
        <x:v>0</x:v>
      </x:c>
      <x:c r="M34" s="28" t="n">
        <x:f>SUMIF('Stage Timing'!$B$2:$B$500,A34,'Stage Timing'!$H$2:$H$500)</x:f>
        <x:v>0</x:v>
      </x:c>
      <x:c r="N34" s="28" t="n">
        <x:f>SUMIF('Stage Timing'!$B$2:$B$500,A34,'Stage Timing'!$I$2:$I$500)</x:f>
        <x:v>0</x:v>
      </x:c>
      <x:c r="O34" s="28"/>
      <x:c r="P34" s="32" t="str">
        <x:f>IF(F34&gt;0,L34/60/F34,"")</x:f>
      </x:c>
      <x:c r="Q34" s="32" t="str">
        <x:f>IF(F34&gt;0,N34/60/F34,"")</x:f>
      </x:c>
      <x:c r="R34" s="32" t="str">
        <x:f>IF(L34&gt;0,F34/(L34/3600),"")</x:f>
      </x:c>
      <x:c r="S34" s="28"/>
      <x:c r="T34" s="28"/>
      <x:c r="U34" s="28"/>
    </x:row>
    <x:row r="35">
      <x:c r="A35" s="28"/>
      <x:c r="B35" s="28"/>
      <x:c r="C35" s="30"/>
      <x:c r="D35" s="28"/>
      <x:c r="E35" s="28"/>
      <x:c r="F35" s="28"/>
      <x:c r="G35" s="28"/>
      <x:c r="H35" s="28"/>
      <x:c r="I35" s="28"/>
      <x:c r="J35" s="28"/>
      <x:c r="K35" s="28"/>
      <x:c r="L35" s="28" t="n">
        <x:f>SUMIF('Stage Timing'!$B$2:$B$500,A35,'Stage Timing'!$G$2:$G$500)</x:f>
        <x:v>0</x:v>
      </x:c>
      <x:c r="M35" s="28" t="n">
        <x:f>SUMIF('Stage Timing'!$B$2:$B$500,A35,'Stage Timing'!$H$2:$H$500)</x:f>
        <x:v>0</x:v>
      </x:c>
      <x:c r="N35" s="28" t="n">
        <x:f>SUMIF('Stage Timing'!$B$2:$B$500,A35,'Stage Timing'!$I$2:$I$500)</x:f>
        <x:v>0</x:v>
      </x:c>
      <x:c r="O35" s="28"/>
      <x:c r="P35" s="32" t="str">
        <x:f>IF(F35&gt;0,L35/60/F35,"")</x:f>
      </x:c>
      <x:c r="Q35" s="32" t="str">
        <x:f>IF(F35&gt;0,N35/60/F35,"")</x:f>
      </x:c>
      <x:c r="R35" s="32" t="str">
        <x:f>IF(L35&gt;0,F35/(L35/3600),"")</x:f>
      </x:c>
      <x:c r="S35" s="28"/>
      <x:c r="T35" s="28"/>
      <x:c r="U35" s="28"/>
    </x:row>
    <x:row r="36">
      <x:c r="A36" s="28"/>
      <x:c r="B36" s="28"/>
      <x:c r="C36" s="30"/>
      <x:c r="D36" s="28"/>
      <x:c r="E36" s="28"/>
      <x:c r="F36" s="28"/>
      <x:c r="G36" s="28"/>
      <x:c r="H36" s="28"/>
      <x:c r="I36" s="28"/>
      <x:c r="J36" s="28"/>
      <x:c r="K36" s="28"/>
      <x:c r="L36" s="28" t="n">
        <x:f>SUMIF('Stage Timing'!$B$2:$B$500,A36,'Stage Timing'!$G$2:$G$500)</x:f>
        <x:v>0</x:v>
      </x:c>
      <x:c r="M36" s="28" t="n">
        <x:f>SUMIF('Stage Timing'!$B$2:$B$500,A36,'Stage Timing'!$H$2:$H$500)</x:f>
        <x:v>0</x:v>
      </x:c>
      <x:c r="N36" s="28" t="n">
        <x:f>SUMIF('Stage Timing'!$B$2:$B$500,A36,'Stage Timing'!$I$2:$I$500)</x:f>
        <x:v>0</x:v>
      </x:c>
      <x:c r="O36" s="28"/>
      <x:c r="P36" s="32" t="str">
        <x:f>IF(F36&gt;0,L36/60/F36,"")</x:f>
      </x:c>
      <x:c r="Q36" s="32" t="str">
        <x:f>IF(F36&gt;0,N36/60/F36,"")</x:f>
      </x:c>
      <x:c r="R36" s="32" t="str">
        <x:f>IF(L36&gt;0,F36/(L36/3600),"")</x:f>
      </x:c>
      <x:c r="S36" s="28"/>
      <x:c r="T36" s="28"/>
      <x:c r="U36" s="28"/>
    </x:row>
    <x:row r="37">
      <x:c r="A37" s="28"/>
      <x:c r="B37" s="28"/>
      <x:c r="C37" s="30"/>
      <x:c r="D37" s="28"/>
      <x:c r="E37" s="28"/>
      <x:c r="F37" s="28"/>
      <x:c r="G37" s="28"/>
      <x:c r="H37" s="28"/>
      <x:c r="I37" s="28"/>
      <x:c r="J37" s="28"/>
      <x:c r="K37" s="28"/>
      <x:c r="L37" s="28" t="n">
        <x:f>SUMIF('Stage Timing'!$B$2:$B$500,A37,'Stage Timing'!$G$2:$G$500)</x:f>
        <x:v>0</x:v>
      </x:c>
      <x:c r="M37" s="28" t="n">
        <x:f>SUMIF('Stage Timing'!$B$2:$B$500,A37,'Stage Timing'!$H$2:$H$500)</x:f>
        <x:v>0</x:v>
      </x:c>
      <x:c r="N37" s="28" t="n">
        <x:f>SUMIF('Stage Timing'!$B$2:$B$500,A37,'Stage Timing'!$I$2:$I$500)</x:f>
        <x:v>0</x:v>
      </x:c>
      <x:c r="O37" s="28"/>
      <x:c r="P37" s="32" t="str">
        <x:f>IF(F37&gt;0,L37/60/F37,"")</x:f>
      </x:c>
      <x:c r="Q37" s="32" t="str">
        <x:f>IF(F37&gt;0,N37/60/F37,"")</x:f>
      </x:c>
      <x:c r="R37" s="32" t="str">
        <x:f>IF(L37&gt;0,F37/(L37/3600),"")</x:f>
      </x:c>
      <x:c r="S37" s="28"/>
      <x:c r="T37" s="28"/>
      <x:c r="U37" s="28"/>
    </x:row>
    <x:row r="38">
      <x:c r="A38" s="28"/>
      <x:c r="B38" s="28"/>
      <x:c r="C38" s="30"/>
      <x:c r="D38" s="28"/>
      <x:c r="E38" s="28"/>
      <x:c r="F38" s="28"/>
      <x:c r="G38" s="28"/>
      <x:c r="H38" s="28"/>
      <x:c r="I38" s="28"/>
      <x:c r="J38" s="28"/>
      <x:c r="K38" s="28"/>
      <x:c r="L38" s="28" t="n">
        <x:f>SUMIF('Stage Timing'!$B$2:$B$500,A38,'Stage Timing'!$G$2:$G$500)</x:f>
        <x:v>0</x:v>
      </x:c>
      <x:c r="M38" s="28" t="n">
        <x:f>SUMIF('Stage Timing'!$B$2:$B$500,A38,'Stage Timing'!$H$2:$H$500)</x:f>
        <x:v>0</x:v>
      </x:c>
      <x:c r="N38" s="28" t="n">
        <x:f>SUMIF('Stage Timing'!$B$2:$B$500,A38,'Stage Timing'!$I$2:$I$500)</x:f>
        <x:v>0</x:v>
      </x:c>
      <x:c r="O38" s="28"/>
      <x:c r="P38" s="32" t="str">
        <x:f>IF(F38&gt;0,L38/60/F38,"")</x:f>
      </x:c>
      <x:c r="Q38" s="32" t="str">
        <x:f>IF(F38&gt;0,N38/60/F38,"")</x:f>
      </x:c>
      <x:c r="R38" s="32" t="str">
        <x:f>IF(L38&gt;0,F38/(L38/3600),"")</x:f>
      </x:c>
      <x:c r="S38" s="28"/>
      <x:c r="T38" s="28"/>
      <x:c r="U38" s="28"/>
    </x:row>
    <x:row r="39">
      <x:c r="A39" s="28"/>
      <x:c r="B39" s="28"/>
      <x:c r="C39" s="30"/>
      <x:c r="D39" s="28"/>
      <x:c r="E39" s="28"/>
      <x:c r="F39" s="28"/>
      <x:c r="G39" s="28"/>
      <x:c r="H39" s="28"/>
      <x:c r="I39" s="28"/>
      <x:c r="J39" s="28"/>
      <x:c r="K39" s="28"/>
      <x:c r="L39" s="28" t="n">
        <x:f>SUMIF('Stage Timing'!$B$2:$B$500,A39,'Stage Timing'!$G$2:$G$500)</x:f>
        <x:v>0</x:v>
      </x:c>
      <x:c r="M39" s="28" t="n">
        <x:f>SUMIF('Stage Timing'!$B$2:$B$500,A39,'Stage Timing'!$H$2:$H$500)</x:f>
        <x:v>0</x:v>
      </x:c>
      <x:c r="N39" s="28" t="n">
        <x:f>SUMIF('Stage Timing'!$B$2:$B$500,A39,'Stage Timing'!$I$2:$I$500)</x:f>
        <x:v>0</x:v>
      </x:c>
      <x:c r="O39" s="28"/>
      <x:c r="P39" s="32" t="str">
        <x:f>IF(F39&gt;0,L39/60/F39,"")</x:f>
      </x:c>
      <x:c r="Q39" s="32" t="str">
        <x:f>IF(F39&gt;0,N39/60/F39,"")</x:f>
      </x:c>
      <x:c r="R39" s="32" t="str">
        <x:f>IF(L39&gt;0,F39/(L39/3600),"")</x:f>
      </x:c>
      <x:c r="S39" s="28"/>
      <x:c r="T39" s="28"/>
      <x:c r="U39" s="28"/>
    </x:row>
    <x:row r="40">
      <x:c r="A40" s="28"/>
      <x:c r="B40" s="28"/>
      <x:c r="C40" s="30"/>
      <x:c r="D40" s="28"/>
      <x:c r="E40" s="28"/>
      <x:c r="F40" s="28"/>
      <x:c r="G40" s="28"/>
      <x:c r="H40" s="28"/>
      <x:c r="I40" s="28"/>
      <x:c r="J40" s="28"/>
      <x:c r="K40" s="28"/>
      <x:c r="L40" s="28" t="n">
        <x:f>SUMIF('Stage Timing'!$B$2:$B$500,A40,'Stage Timing'!$G$2:$G$500)</x:f>
        <x:v>0</x:v>
      </x:c>
      <x:c r="M40" s="28" t="n">
        <x:f>SUMIF('Stage Timing'!$B$2:$B$500,A40,'Stage Timing'!$H$2:$H$500)</x:f>
        <x:v>0</x:v>
      </x:c>
      <x:c r="N40" s="28" t="n">
        <x:f>SUMIF('Stage Timing'!$B$2:$B$500,A40,'Stage Timing'!$I$2:$I$500)</x:f>
        <x:v>0</x:v>
      </x:c>
      <x:c r="O40" s="28"/>
      <x:c r="P40" s="32" t="str">
        <x:f>IF(F40&gt;0,L40/60/F40,"")</x:f>
      </x:c>
      <x:c r="Q40" s="32" t="str">
        <x:f>IF(F40&gt;0,N40/60/F40,"")</x:f>
      </x:c>
      <x:c r="R40" s="32" t="str">
        <x:f>IF(L40&gt;0,F40/(L40/3600),"")</x:f>
      </x:c>
      <x:c r="S40" s="28"/>
      <x:c r="T40" s="28"/>
      <x:c r="U40" s="28"/>
    </x:row>
    <x:row r="41">
      <x:c r="A41" s="28"/>
      <x:c r="B41" s="28"/>
      <x:c r="C41" s="30"/>
      <x:c r="D41" s="28"/>
      <x:c r="E41" s="28"/>
      <x:c r="F41" s="28"/>
      <x:c r="G41" s="28"/>
      <x:c r="H41" s="28"/>
      <x:c r="I41" s="28"/>
      <x:c r="J41" s="28"/>
      <x:c r="K41" s="28"/>
      <x:c r="L41" s="28" t="n">
        <x:f>SUMIF('Stage Timing'!$B$2:$B$500,A41,'Stage Timing'!$G$2:$G$500)</x:f>
        <x:v>0</x:v>
      </x:c>
      <x:c r="M41" s="28" t="n">
        <x:f>SUMIF('Stage Timing'!$B$2:$B$500,A41,'Stage Timing'!$H$2:$H$500)</x:f>
        <x:v>0</x:v>
      </x:c>
      <x:c r="N41" s="28" t="n">
        <x:f>SUMIF('Stage Timing'!$B$2:$B$500,A41,'Stage Timing'!$I$2:$I$500)</x:f>
        <x:v>0</x:v>
      </x:c>
      <x:c r="O41" s="28"/>
      <x:c r="P41" s="32" t="str">
        <x:f>IF(F41&gt;0,L41/60/F41,"")</x:f>
      </x:c>
      <x:c r="Q41" s="32" t="str">
        <x:f>IF(F41&gt;0,N41/60/F41,"")</x:f>
      </x:c>
      <x:c r="R41" s="32" t="str">
        <x:f>IF(L41&gt;0,F41/(L41/3600),"")</x:f>
      </x:c>
      <x:c r="S41" s="28"/>
      <x:c r="T41" s="28"/>
      <x:c r="U41" s="28"/>
    </x:row>
    <x:row r="42">
      <x:c r="A42" s="28"/>
      <x:c r="B42" s="28"/>
      <x:c r="C42" s="30"/>
      <x:c r="D42" s="28"/>
      <x:c r="E42" s="28"/>
      <x:c r="F42" s="28"/>
      <x:c r="G42" s="28"/>
      <x:c r="H42" s="28"/>
      <x:c r="I42" s="28"/>
      <x:c r="J42" s="28"/>
      <x:c r="K42" s="28"/>
      <x:c r="L42" s="28" t="n">
        <x:f>SUMIF('Stage Timing'!$B$2:$B$500,A42,'Stage Timing'!$G$2:$G$500)</x:f>
        <x:v>0</x:v>
      </x:c>
      <x:c r="M42" s="28" t="n">
        <x:f>SUMIF('Stage Timing'!$B$2:$B$500,A42,'Stage Timing'!$H$2:$H$500)</x:f>
        <x:v>0</x:v>
      </x:c>
      <x:c r="N42" s="28" t="n">
        <x:f>SUMIF('Stage Timing'!$B$2:$B$500,A42,'Stage Timing'!$I$2:$I$500)</x:f>
        <x:v>0</x:v>
      </x:c>
      <x:c r="O42" s="28"/>
      <x:c r="P42" s="32" t="str">
        <x:f>IF(F42&gt;0,L42/60/F42,"")</x:f>
      </x:c>
      <x:c r="Q42" s="32" t="str">
        <x:f>IF(F42&gt;0,N42/60/F42,"")</x:f>
      </x:c>
      <x:c r="R42" s="32" t="str">
        <x:f>IF(L42&gt;0,F42/(L42/3600),"")</x:f>
      </x:c>
      <x:c r="S42" s="28"/>
      <x:c r="T42" s="28"/>
      <x:c r="U42" s="28"/>
    </x:row>
    <x:row r="43">
      <x:c r="A43" s="28"/>
      <x:c r="B43" s="28"/>
      <x:c r="C43" s="30"/>
      <x:c r="D43" s="28"/>
      <x:c r="E43" s="28"/>
      <x:c r="F43" s="28"/>
      <x:c r="G43" s="28"/>
      <x:c r="H43" s="28"/>
      <x:c r="I43" s="28"/>
      <x:c r="J43" s="28"/>
      <x:c r="K43" s="28"/>
      <x:c r="L43" s="28" t="n">
        <x:f>SUMIF('Stage Timing'!$B$2:$B$500,A43,'Stage Timing'!$G$2:$G$500)</x:f>
        <x:v>0</x:v>
      </x:c>
      <x:c r="M43" s="28" t="n">
        <x:f>SUMIF('Stage Timing'!$B$2:$B$500,A43,'Stage Timing'!$H$2:$H$500)</x:f>
        <x:v>0</x:v>
      </x:c>
      <x:c r="N43" s="28" t="n">
        <x:f>SUMIF('Stage Timing'!$B$2:$B$500,A43,'Stage Timing'!$I$2:$I$500)</x:f>
        <x:v>0</x:v>
      </x:c>
      <x:c r="O43" s="28"/>
      <x:c r="P43" s="32" t="str">
        <x:f>IF(F43&gt;0,L43/60/F43,"")</x:f>
      </x:c>
      <x:c r="Q43" s="32" t="str">
        <x:f>IF(F43&gt;0,N43/60/F43,"")</x:f>
      </x:c>
      <x:c r="R43" s="32" t="str">
        <x:f>IF(L43&gt;0,F43/(L43/3600),"")</x:f>
      </x:c>
      <x:c r="S43" s="28"/>
      <x:c r="T43" s="28"/>
      <x:c r="U43" s="28"/>
    </x:row>
    <x:row r="44">
      <x:c r="A44" s="28"/>
      <x:c r="B44" s="28"/>
      <x:c r="C44" s="30"/>
      <x:c r="D44" s="28"/>
      <x:c r="E44" s="28"/>
      <x:c r="F44" s="28"/>
      <x:c r="G44" s="28"/>
      <x:c r="H44" s="28"/>
      <x:c r="I44" s="28"/>
      <x:c r="J44" s="28"/>
      <x:c r="K44" s="28"/>
      <x:c r="L44" s="28" t="n">
        <x:f>SUMIF('Stage Timing'!$B$2:$B$500,A44,'Stage Timing'!$G$2:$G$500)</x:f>
        <x:v>0</x:v>
      </x:c>
      <x:c r="M44" s="28" t="n">
        <x:f>SUMIF('Stage Timing'!$B$2:$B$500,A44,'Stage Timing'!$H$2:$H$500)</x:f>
        <x:v>0</x:v>
      </x:c>
      <x:c r="N44" s="28" t="n">
        <x:f>SUMIF('Stage Timing'!$B$2:$B$500,A44,'Stage Timing'!$I$2:$I$500)</x:f>
        <x:v>0</x:v>
      </x:c>
      <x:c r="O44" s="28"/>
      <x:c r="P44" s="32" t="str">
        <x:f>IF(F44&gt;0,L44/60/F44,"")</x:f>
      </x:c>
      <x:c r="Q44" s="32" t="str">
        <x:f>IF(F44&gt;0,N44/60/F44,"")</x:f>
      </x:c>
      <x:c r="R44" s="32" t="str">
        <x:f>IF(L44&gt;0,F44/(L44/3600),"")</x:f>
      </x:c>
      <x:c r="S44" s="28"/>
      <x:c r="T44" s="28"/>
      <x:c r="U44" s="28"/>
    </x:row>
    <x:row r="45">
      <x:c r="A45" s="28"/>
      <x:c r="B45" s="28"/>
      <x:c r="C45" s="30"/>
      <x:c r="D45" s="28"/>
      <x:c r="E45" s="28"/>
      <x:c r="F45" s="28"/>
      <x:c r="G45" s="28"/>
      <x:c r="H45" s="28"/>
      <x:c r="I45" s="28"/>
      <x:c r="J45" s="28"/>
      <x:c r="K45" s="28"/>
      <x:c r="L45" s="28" t="n">
        <x:f>SUMIF('Stage Timing'!$B$2:$B$500,A45,'Stage Timing'!$G$2:$G$500)</x:f>
        <x:v>0</x:v>
      </x:c>
      <x:c r="M45" s="28" t="n">
        <x:f>SUMIF('Stage Timing'!$B$2:$B$500,A45,'Stage Timing'!$H$2:$H$500)</x:f>
        <x:v>0</x:v>
      </x:c>
      <x:c r="N45" s="28" t="n">
        <x:f>SUMIF('Stage Timing'!$B$2:$B$500,A45,'Stage Timing'!$I$2:$I$500)</x:f>
        <x:v>0</x:v>
      </x:c>
      <x:c r="O45" s="28"/>
      <x:c r="P45" s="32" t="str">
        <x:f>IF(F45&gt;0,L45/60/F45,"")</x:f>
      </x:c>
      <x:c r="Q45" s="32" t="str">
        <x:f>IF(F45&gt;0,N45/60/F45,"")</x:f>
      </x:c>
      <x:c r="R45" s="32" t="str">
        <x:f>IF(L45&gt;0,F45/(L45/3600),"")</x:f>
      </x:c>
      <x:c r="S45" s="28"/>
      <x:c r="T45" s="28"/>
      <x:c r="U45" s="28"/>
    </x:row>
    <x:row r="46">
      <x:c r="A46" s="28"/>
      <x:c r="B46" s="28"/>
      <x:c r="C46" s="30"/>
      <x:c r="D46" s="28"/>
      <x:c r="E46" s="28"/>
      <x:c r="F46" s="28"/>
      <x:c r="G46" s="28"/>
      <x:c r="H46" s="28"/>
      <x:c r="I46" s="28"/>
      <x:c r="J46" s="28"/>
      <x:c r="K46" s="28"/>
      <x:c r="L46" s="28" t="n">
        <x:f>SUMIF('Stage Timing'!$B$2:$B$500,A46,'Stage Timing'!$G$2:$G$500)</x:f>
        <x:v>0</x:v>
      </x:c>
      <x:c r="M46" s="28" t="n">
        <x:f>SUMIF('Stage Timing'!$B$2:$B$500,A46,'Stage Timing'!$H$2:$H$500)</x:f>
        <x:v>0</x:v>
      </x:c>
      <x:c r="N46" s="28" t="n">
        <x:f>SUMIF('Stage Timing'!$B$2:$B$500,A46,'Stage Timing'!$I$2:$I$500)</x:f>
        <x:v>0</x:v>
      </x:c>
      <x:c r="O46" s="28"/>
      <x:c r="P46" s="32" t="str">
        <x:f>IF(F46&gt;0,L46/60/F46,"")</x:f>
      </x:c>
      <x:c r="Q46" s="32" t="str">
        <x:f>IF(F46&gt;0,N46/60/F46,"")</x:f>
      </x:c>
      <x:c r="R46" s="32" t="str">
        <x:f>IF(L46&gt;0,F46/(L46/3600),"")</x:f>
      </x:c>
      <x:c r="S46" s="28"/>
      <x:c r="T46" s="28"/>
      <x:c r="U46" s="28"/>
    </x:row>
    <x:row r="47">
      <x:c r="A47" s="28"/>
      <x:c r="B47" s="28"/>
      <x:c r="C47" s="30"/>
      <x:c r="D47" s="28"/>
      <x:c r="E47" s="28"/>
      <x:c r="F47" s="28"/>
      <x:c r="G47" s="28"/>
      <x:c r="H47" s="28"/>
      <x:c r="I47" s="28"/>
      <x:c r="J47" s="28"/>
      <x:c r="K47" s="28"/>
      <x:c r="L47" s="28" t="n">
        <x:f>SUMIF('Stage Timing'!$B$2:$B$500,A47,'Stage Timing'!$G$2:$G$500)</x:f>
        <x:v>0</x:v>
      </x:c>
      <x:c r="M47" s="28" t="n">
        <x:f>SUMIF('Stage Timing'!$B$2:$B$500,A47,'Stage Timing'!$H$2:$H$500)</x:f>
        <x:v>0</x:v>
      </x:c>
      <x:c r="N47" s="28" t="n">
        <x:f>SUMIF('Stage Timing'!$B$2:$B$500,A47,'Stage Timing'!$I$2:$I$500)</x:f>
        <x:v>0</x:v>
      </x:c>
      <x:c r="O47" s="28"/>
      <x:c r="P47" s="32" t="str">
        <x:f>IF(F47&gt;0,L47/60/F47,"")</x:f>
      </x:c>
      <x:c r="Q47" s="32" t="str">
        <x:f>IF(F47&gt;0,N47/60/F47,"")</x:f>
      </x:c>
      <x:c r="R47" s="32" t="str">
        <x:f>IF(L47&gt;0,F47/(L47/3600),"")</x:f>
      </x:c>
      <x:c r="S47" s="28"/>
      <x:c r="T47" s="28"/>
      <x:c r="U47" s="28"/>
    </x:row>
    <x:row r="48">
      <x:c r="A48" s="28"/>
      <x:c r="B48" s="28"/>
      <x:c r="C48" s="30"/>
      <x:c r="D48" s="28"/>
      <x:c r="E48" s="28"/>
      <x:c r="F48" s="28"/>
      <x:c r="G48" s="28"/>
      <x:c r="H48" s="28"/>
      <x:c r="I48" s="28"/>
      <x:c r="J48" s="28"/>
      <x:c r="K48" s="28"/>
      <x:c r="L48" s="28" t="n">
        <x:f>SUMIF('Stage Timing'!$B$2:$B$500,A48,'Stage Timing'!$G$2:$G$500)</x:f>
        <x:v>0</x:v>
      </x:c>
      <x:c r="M48" s="28" t="n">
        <x:f>SUMIF('Stage Timing'!$B$2:$B$500,A48,'Stage Timing'!$H$2:$H$500)</x:f>
        <x:v>0</x:v>
      </x:c>
      <x:c r="N48" s="28" t="n">
        <x:f>SUMIF('Stage Timing'!$B$2:$B$500,A48,'Stage Timing'!$I$2:$I$500)</x:f>
        <x:v>0</x:v>
      </x:c>
      <x:c r="O48" s="28"/>
      <x:c r="P48" s="32" t="str">
        <x:f>IF(F48&gt;0,L48/60/F48,"")</x:f>
      </x:c>
      <x:c r="Q48" s="32" t="str">
        <x:f>IF(F48&gt;0,N48/60/F48,"")</x:f>
      </x:c>
      <x:c r="R48" s="32" t="str">
        <x:f>IF(L48&gt;0,F48/(L48/3600),"")</x:f>
      </x:c>
      <x:c r="S48" s="28"/>
      <x:c r="T48" s="28"/>
      <x:c r="U48" s="28"/>
    </x:row>
    <x:row r="49">
      <x:c r="A49" s="28"/>
      <x:c r="B49" s="28"/>
      <x:c r="C49" s="30"/>
      <x:c r="D49" s="28"/>
      <x:c r="E49" s="28"/>
      <x:c r="F49" s="28"/>
      <x:c r="G49" s="28"/>
      <x:c r="H49" s="28"/>
      <x:c r="I49" s="28"/>
      <x:c r="J49" s="28"/>
      <x:c r="K49" s="28"/>
      <x:c r="L49" s="28" t="n">
        <x:f>SUMIF('Stage Timing'!$B$2:$B$500,A49,'Stage Timing'!$G$2:$G$500)</x:f>
        <x:v>0</x:v>
      </x:c>
      <x:c r="M49" s="28" t="n">
        <x:f>SUMIF('Stage Timing'!$B$2:$B$500,A49,'Stage Timing'!$H$2:$H$500)</x:f>
        <x:v>0</x:v>
      </x:c>
      <x:c r="N49" s="28" t="n">
        <x:f>SUMIF('Stage Timing'!$B$2:$B$500,A49,'Stage Timing'!$I$2:$I$500)</x:f>
        <x:v>0</x:v>
      </x:c>
      <x:c r="O49" s="28"/>
      <x:c r="P49" s="32" t="str">
        <x:f>IF(F49&gt;0,L49/60/F49,"")</x:f>
      </x:c>
      <x:c r="Q49" s="32" t="str">
        <x:f>IF(F49&gt;0,N49/60/F49,"")</x:f>
      </x:c>
      <x:c r="R49" s="32" t="str">
        <x:f>IF(L49&gt;0,F49/(L49/3600),"")</x:f>
      </x:c>
      <x:c r="S49" s="28"/>
      <x:c r="T49" s="28"/>
      <x:c r="U49" s="28"/>
    </x:row>
    <x:row r="50">
      <x:c r="A50" s="28"/>
      <x:c r="B50" s="28"/>
      <x:c r="C50" s="30"/>
      <x:c r="D50" s="28"/>
      <x:c r="E50" s="28"/>
      <x:c r="F50" s="28"/>
      <x:c r="G50" s="28"/>
      <x:c r="H50" s="28"/>
      <x:c r="I50" s="28"/>
      <x:c r="J50" s="28"/>
      <x:c r="K50" s="28"/>
      <x:c r="L50" s="28" t="n">
        <x:f>SUMIF('Stage Timing'!$B$2:$B$500,A50,'Stage Timing'!$G$2:$G$500)</x:f>
        <x:v>0</x:v>
      </x:c>
      <x:c r="M50" s="28" t="n">
        <x:f>SUMIF('Stage Timing'!$B$2:$B$500,A50,'Stage Timing'!$H$2:$H$500)</x:f>
        <x:v>0</x:v>
      </x:c>
      <x:c r="N50" s="28" t="n">
        <x:f>SUMIF('Stage Timing'!$B$2:$B$500,A50,'Stage Timing'!$I$2:$I$500)</x:f>
        <x:v>0</x:v>
      </x:c>
      <x:c r="O50" s="28"/>
      <x:c r="P50" s="32" t="str">
        <x:f>IF(F50&gt;0,L50/60/F50,"")</x:f>
      </x:c>
      <x:c r="Q50" s="32" t="str">
        <x:f>IF(F50&gt;0,N50/60/F50,"")</x:f>
      </x:c>
      <x:c r="R50" s="32" t="str">
        <x:f>IF(L50&gt;0,F50/(L50/3600),"")</x:f>
      </x:c>
      <x:c r="S50" s="28"/>
      <x:c r="T50" s="28"/>
      <x:c r="U50" s="28"/>
    </x:row>
    <x:row r="51">
      <x:c r="A51" s="28"/>
      <x:c r="B51" s="28"/>
      <x:c r="C51" s="30"/>
      <x:c r="D51" s="28"/>
      <x:c r="E51" s="28"/>
      <x:c r="F51" s="28"/>
      <x:c r="G51" s="28"/>
      <x:c r="H51" s="28"/>
      <x:c r="I51" s="28"/>
      <x:c r="J51" s="28"/>
      <x:c r="K51" s="28"/>
      <x:c r="L51" s="28" t="n">
        <x:f>SUMIF('Stage Timing'!$B$2:$B$500,A51,'Stage Timing'!$G$2:$G$500)</x:f>
        <x:v>0</x:v>
      </x:c>
      <x:c r="M51" s="28" t="n">
        <x:f>SUMIF('Stage Timing'!$B$2:$B$500,A51,'Stage Timing'!$H$2:$H$500)</x:f>
        <x:v>0</x:v>
      </x:c>
      <x:c r="N51" s="28" t="n">
        <x:f>SUMIF('Stage Timing'!$B$2:$B$500,A51,'Stage Timing'!$I$2:$I$500)</x:f>
        <x:v>0</x:v>
      </x:c>
      <x:c r="O51" s="28"/>
      <x:c r="P51" s="32" t="str">
        <x:f>IF(F51&gt;0,L51/60/F51,"")</x:f>
      </x:c>
      <x:c r="Q51" s="32" t="str">
        <x:f>IF(F51&gt;0,N51/60/F51,"")</x:f>
      </x:c>
      <x:c r="R51" s="32" t="str">
        <x:f>IF(L51&gt;0,F51/(L51/3600),"")</x:f>
      </x:c>
      <x:c r="S51" s="28"/>
      <x:c r="T51" s="28"/>
      <x:c r="U51" s="28"/>
    </x:row>
    <x:row r="52">
      <x:c r="A52" s="28"/>
      <x:c r="B52" s="28"/>
      <x:c r="C52" s="30"/>
      <x:c r="D52" s="28"/>
      <x:c r="E52" s="28"/>
      <x:c r="F52" s="28"/>
      <x:c r="G52" s="28"/>
      <x:c r="H52" s="28"/>
      <x:c r="I52" s="28"/>
      <x:c r="J52" s="28"/>
      <x:c r="K52" s="28"/>
      <x:c r="L52" s="28" t="n">
        <x:f>SUMIF('Stage Timing'!$B$2:$B$500,A52,'Stage Timing'!$G$2:$G$500)</x:f>
        <x:v>0</x:v>
      </x:c>
      <x:c r="M52" s="28" t="n">
        <x:f>SUMIF('Stage Timing'!$B$2:$B$500,A52,'Stage Timing'!$H$2:$H$500)</x:f>
        <x:v>0</x:v>
      </x:c>
      <x:c r="N52" s="28" t="n">
        <x:f>SUMIF('Stage Timing'!$B$2:$B$500,A52,'Stage Timing'!$I$2:$I$500)</x:f>
        <x:v>0</x:v>
      </x:c>
      <x:c r="O52" s="28"/>
      <x:c r="P52" s="32" t="str">
        <x:f>IF(F52&gt;0,L52/60/F52,"")</x:f>
      </x:c>
      <x:c r="Q52" s="32" t="str">
        <x:f>IF(F52&gt;0,N52/60/F52,"")</x:f>
      </x:c>
      <x:c r="R52" s="32" t="str">
        <x:f>IF(L52&gt;0,F52/(L52/3600),"")</x:f>
      </x:c>
      <x:c r="S52" s="28"/>
      <x:c r="T52" s="28"/>
      <x:c r="U52" s="28"/>
    </x:row>
    <x:row r="53">
      <x:c r="A53" s="28"/>
      <x:c r="B53" s="28"/>
      <x:c r="C53" s="30"/>
      <x:c r="D53" s="28"/>
      <x:c r="E53" s="28"/>
      <x:c r="F53" s="28"/>
      <x:c r="G53" s="28"/>
      <x:c r="H53" s="28"/>
      <x:c r="I53" s="28"/>
      <x:c r="J53" s="28"/>
      <x:c r="K53" s="28"/>
      <x:c r="L53" s="28" t="n">
        <x:f>SUMIF('Stage Timing'!$B$2:$B$500,A53,'Stage Timing'!$G$2:$G$500)</x:f>
        <x:v>0</x:v>
      </x:c>
      <x:c r="M53" s="28" t="n">
        <x:f>SUMIF('Stage Timing'!$B$2:$B$500,A53,'Stage Timing'!$H$2:$H$500)</x:f>
        <x:v>0</x:v>
      </x:c>
      <x:c r="N53" s="28" t="n">
        <x:f>SUMIF('Stage Timing'!$B$2:$B$500,A53,'Stage Timing'!$I$2:$I$500)</x:f>
        <x:v>0</x:v>
      </x:c>
      <x:c r="O53" s="28"/>
      <x:c r="P53" s="32" t="str">
        <x:f>IF(F53&gt;0,L53/60/F53,"")</x:f>
      </x:c>
      <x:c r="Q53" s="32" t="str">
        <x:f>IF(F53&gt;0,N53/60/F53,"")</x:f>
      </x:c>
      <x:c r="R53" s="32" t="str">
        <x:f>IF(L53&gt;0,F53/(L53/3600),"")</x:f>
      </x:c>
      <x:c r="S53" s="28"/>
      <x:c r="T53" s="28"/>
      <x:c r="U53" s="28"/>
    </x:row>
    <x:row r="54">
      <x:c r="A54" s="28"/>
      <x:c r="B54" s="28"/>
      <x:c r="C54" s="30"/>
      <x:c r="D54" s="28"/>
      <x:c r="E54" s="28"/>
      <x:c r="F54" s="28"/>
      <x:c r="G54" s="28"/>
      <x:c r="H54" s="28"/>
      <x:c r="I54" s="28"/>
      <x:c r="J54" s="28"/>
      <x:c r="K54" s="28"/>
      <x:c r="L54" s="28" t="n">
        <x:f>SUMIF('Stage Timing'!$B$2:$B$500,A54,'Stage Timing'!$G$2:$G$500)</x:f>
        <x:v>0</x:v>
      </x:c>
      <x:c r="M54" s="28" t="n">
        <x:f>SUMIF('Stage Timing'!$B$2:$B$500,A54,'Stage Timing'!$H$2:$H$500)</x:f>
        <x:v>0</x:v>
      </x:c>
      <x:c r="N54" s="28" t="n">
        <x:f>SUMIF('Stage Timing'!$B$2:$B$500,A54,'Stage Timing'!$I$2:$I$500)</x:f>
        <x:v>0</x:v>
      </x:c>
      <x:c r="O54" s="28"/>
      <x:c r="P54" s="32" t="str">
        <x:f>IF(F54&gt;0,L54/60/F54,"")</x:f>
      </x:c>
      <x:c r="Q54" s="32" t="str">
        <x:f>IF(F54&gt;0,N54/60/F54,"")</x:f>
      </x:c>
      <x:c r="R54" s="32" t="str">
        <x:f>IF(L54&gt;0,F54/(L54/3600),"")</x:f>
      </x:c>
      <x:c r="S54" s="28"/>
      <x:c r="T54" s="28"/>
      <x:c r="U54" s="28"/>
    </x:row>
    <x:row r="55">
      <x:c r="A55" s="28"/>
      <x:c r="B55" s="28"/>
      <x:c r="C55" s="30"/>
      <x:c r="D55" s="28"/>
      <x:c r="E55" s="28"/>
      <x:c r="F55" s="28"/>
      <x:c r="G55" s="28"/>
      <x:c r="H55" s="28"/>
      <x:c r="I55" s="28"/>
      <x:c r="J55" s="28"/>
      <x:c r="K55" s="28"/>
      <x:c r="L55" s="28" t="n">
        <x:f>SUMIF('Stage Timing'!$B$2:$B$500,A55,'Stage Timing'!$G$2:$G$500)</x:f>
        <x:v>0</x:v>
      </x:c>
      <x:c r="M55" s="28" t="n">
        <x:f>SUMIF('Stage Timing'!$B$2:$B$500,A55,'Stage Timing'!$H$2:$H$500)</x:f>
        <x:v>0</x:v>
      </x:c>
      <x:c r="N55" s="28" t="n">
        <x:f>SUMIF('Stage Timing'!$B$2:$B$500,A55,'Stage Timing'!$I$2:$I$500)</x:f>
        <x:v>0</x:v>
      </x:c>
      <x:c r="O55" s="28"/>
      <x:c r="P55" s="32" t="str">
        <x:f>IF(F55&gt;0,L55/60/F55,"")</x:f>
      </x:c>
      <x:c r="Q55" s="32" t="str">
        <x:f>IF(F55&gt;0,N55/60/F55,"")</x:f>
      </x:c>
      <x:c r="R55" s="32" t="str">
        <x:f>IF(L55&gt;0,F55/(L55/3600),"")</x:f>
      </x:c>
      <x:c r="S55" s="28"/>
      <x:c r="T55" s="28"/>
      <x:c r="U55" s="28"/>
    </x:row>
    <x:row r="56">
      <x:c r="A56" s="28"/>
      <x:c r="B56" s="28"/>
      <x:c r="C56" s="30"/>
      <x:c r="D56" s="28"/>
      <x:c r="E56" s="28"/>
      <x:c r="F56" s="28"/>
      <x:c r="G56" s="28"/>
      <x:c r="H56" s="28"/>
      <x:c r="I56" s="28"/>
      <x:c r="J56" s="28"/>
      <x:c r="K56" s="28"/>
      <x:c r="L56" s="28" t="n">
        <x:f>SUMIF('Stage Timing'!$B$2:$B$500,A56,'Stage Timing'!$G$2:$G$500)</x:f>
        <x:v>0</x:v>
      </x:c>
      <x:c r="M56" s="28" t="n">
        <x:f>SUMIF('Stage Timing'!$B$2:$B$500,A56,'Stage Timing'!$H$2:$H$500)</x:f>
        <x:v>0</x:v>
      </x:c>
      <x:c r="N56" s="28" t="n">
        <x:f>SUMIF('Stage Timing'!$B$2:$B$500,A56,'Stage Timing'!$I$2:$I$500)</x:f>
        <x:v>0</x:v>
      </x:c>
      <x:c r="O56" s="28"/>
      <x:c r="P56" s="32" t="str">
        <x:f>IF(F56&gt;0,L56/60/F56,"")</x:f>
      </x:c>
      <x:c r="Q56" s="32" t="str">
        <x:f>IF(F56&gt;0,N56/60/F56,"")</x:f>
      </x:c>
      <x:c r="R56" s="32" t="str">
        <x:f>IF(L56&gt;0,F56/(L56/3600),"")</x:f>
      </x:c>
      <x:c r="S56" s="28"/>
      <x:c r="T56" s="28"/>
      <x:c r="U56" s="28"/>
    </x:row>
    <x:row r="57">
      <x:c r="A57" s="28"/>
      <x:c r="B57" s="28"/>
      <x:c r="C57" s="30"/>
      <x:c r="D57" s="28"/>
      <x:c r="E57" s="28"/>
      <x:c r="F57" s="28"/>
      <x:c r="G57" s="28"/>
      <x:c r="H57" s="28"/>
      <x:c r="I57" s="28"/>
      <x:c r="J57" s="28"/>
      <x:c r="K57" s="28"/>
      <x:c r="L57" s="28" t="n">
        <x:f>SUMIF('Stage Timing'!$B$2:$B$500,A57,'Stage Timing'!$G$2:$G$500)</x:f>
        <x:v>0</x:v>
      </x:c>
      <x:c r="M57" s="28" t="n">
        <x:f>SUMIF('Stage Timing'!$B$2:$B$500,A57,'Stage Timing'!$H$2:$H$500)</x:f>
        <x:v>0</x:v>
      </x:c>
      <x:c r="N57" s="28" t="n">
        <x:f>SUMIF('Stage Timing'!$B$2:$B$500,A57,'Stage Timing'!$I$2:$I$500)</x:f>
        <x:v>0</x:v>
      </x:c>
      <x:c r="O57" s="28"/>
      <x:c r="P57" s="32" t="str">
        <x:f>IF(F57&gt;0,L57/60/F57,"")</x:f>
      </x:c>
      <x:c r="Q57" s="32" t="str">
        <x:f>IF(F57&gt;0,N57/60/F57,"")</x:f>
      </x:c>
      <x:c r="R57" s="32" t="str">
        <x:f>IF(L57&gt;0,F57/(L57/3600),"")</x:f>
      </x:c>
      <x:c r="S57" s="28"/>
      <x:c r="T57" s="28"/>
      <x:c r="U57" s="28"/>
    </x:row>
    <x:row r="58">
      <x:c r="A58" s="28"/>
      <x:c r="B58" s="28"/>
      <x:c r="C58" s="30"/>
      <x:c r="D58" s="28"/>
      <x:c r="E58" s="28"/>
      <x:c r="F58" s="28"/>
      <x:c r="G58" s="28"/>
      <x:c r="H58" s="28"/>
      <x:c r="I58" s="28"/>
      <x:c r="J58" s="28"/>
      <x:c r="K58" s="28"/>
      <x:c r="L58" s="28" t="n">
        <x:f>SUMIF('Stage Timing'!$B$2:$B$500,A58,'Stage Timing'!$G$2:$G$500)</x:f>
        <x:v>0</x:v>
      </x:c>
      <x:c r="M58" s="28" t="n">
        <x:f>SUMIF('Stage Timing'!$B$2:$B$500,A58,'Stage Timing'!$H$2:$H$500)</x:f>
        <x:v>0</x:v>
      </x:c>
      <x:c r="N58" s="28" t="n">
        <x:f>SUMIF('Stage Timing'!$B$2:$B$500,A58,'Stage Timing'!$I$2:$I$500)</x:f>
        <x:v>0</x:v>
      </x:c>
      <x:c r="O58" s="28"/>
      <x:c r="P58" s="32" t="str">
        <x:f>IF(F58&gt;0,L58/60/F58,"")</x:f>
      </x:c>
      <x:c r="Q58" s="32" t="str">
        <x:f>IF(F58&gt;0,N58/60/F58,"")</x:f>
      </x:c>
      <x:c r="R58" s="32" t="str">
        <x:f>IF(L58&gt;0,F58/(L58/3600),"")</x:f>
      </x:c>
      <x:c r="S58" s="28"/>
      <x:c r="T58" s="28"/>
      <x:c r="U58" s="28"/>
    </x:row>
    <x:row r="59">
      <x:c r="A59" s="28"/>
      <x:c r="B59" s="28"/>
      <x:c r="C59" s="30"/>
      <x:c r="D59" s="28"/>
      <x:c r="E59" s="28"/>
      <x:c r="F59" s="28"/>
      <x:c r="G59" s="28"/>
      <x:c r="H59" s="28"/>
      <x:c r="I59" s="28"/>
      <x:c r="J59" s="28"/>
      <x:c r="K59" s="28"/>
      <x:c r="L59" s="28" t="n">
        <x:f>SUMIF('Stage Timing'!$B$2:$B$500,A59,'Stage Timing'!$G$2:$G$500)</x:f>
        <x:v>0</x:v>
      </x:c>
      <x:c r="M59" s="28" t="n">
        <x:f>SUMIF('Stage Timing'!$B$2:$B$500,A59,'Stage Timing'!$H$2:$H$500)</x:f>
        <x:v>0</x:v>
      </x:c>
      <x:c r="N59" s="28" t="n">
        <x:f>SUMIF('Stage Timing'!$B$2:$B$500,A59,'Stage Timing'!$I$2:$I$500)</x:f>
        <x:v>0</x:v>
      </x:c>
      <x:c r="O59" s="28"/>
      <x:c r="P59" s="32" t="str">
        <x:f>IF(F59&gt;0,L59/60/F59,"")</x:f>
      </x:c>
      <x:c r="Q59" s="32" t="str">
        <x:f>IF(F59&gt;0,N59/60/F59,"")</x:f>
      </x:c>
      <x:c r="R59" s="32" t="str">
        <x:f>IF(L59&gt;0,F59/(L59/3600),"")</x:f>
      </x:c>
      <x:c r="S59" s="28"/>
      <x:c r="T59" s="28"/>
      <x:c r="U59" s="28"/>
    </x:row>
    <x:row r="60">
      <x:c r="A60" s="28"/>
      <x:c r="B60" s="28"/>
      <x:c r="C60" s="30"/>
      <x:c r="D60" s="28"/>
      <x:c r="E60" s="28"/>
      <x:c r="F60" s="28"/>
      <x:c r="G60" s="28"/>
      <x:c r="H60" s="28"/>
      <x:c r="I60" s="28"/>
      <x:c r="J60" s="28"/>
      <x:c r="K60" s="28"/>
      <x:c r="L60" s="28" t="n">
        <x:f>SUMIF('Stage Timing'!$B$2:$B$500,A60,'Stage Timing'!$G$2:$G$500)</x:f>
        <x:v>0</x:v>
      </x:c>
      <x:c r="M60" s="28" t="n">
        <x:f>SUMIF('Stage Timing'!$B$2:$B$500,A60,'Stage Timing'!$H$2:$H$500)</x:f>
        <x:v>0</x:v>
      </x:c>
      <x:c r="N60" s="28" t="n">
        <x:f>SUMIF('Stage Timing'!$B$2:$B$500,A60,'Stage Timing'!$I$2:$I$500)</x:f>
        <x:v>0</x:v>
      </x:c>
      <x:c r="O60" s="28"/>
      <x:c r="P60" s="32" t="str">
        <x:f>IF(F60&gt;0,L60/60/F60,"")</x:f>
      </x:c>
      <x:c r="Q60" s="32" t="str">
        <x:f>IF(F60&gt;0,N60/60/F60,"")</x:f>
      </x:c>
      <x:c r="R60" s="32" t="str">
        <x:f>IF(L60&gt;0,F60/(L60/3600),"")</x:f>
      </x:c>
      <x:c r="S60" s="28"/>
      <x:c r="T60" s="28"/>
      <x:c r="U60" s="28"/>
    </x:row>
    <x:row r="61">
      <x:c r="A61" s="28"/>
      <x:c r="B61" s="28"/>
      <x:c r="C61" s="30"/>
      <x:c r="D61" s="28"/>
      <x:c r="E61" s="28"/>
      <x:c r="F61" s="28"/>
      <x:c r="G61" s="28"/>
      <x:c r="H61" s="28"/>
      <x:c r="I61" s="28"/>
      <x:c r="J61" s="28"/>
      <x:c r="K61" s="28"/>
      <x:c r="L61" s="28" t="n">
        <x:f>SUMIF('Stage Timing'!$B$2:$B$500,A61,'Stage Timing'!$G$2:$G$500)</x:f>
        <x:v>0</x:v>
      </x:c>
      <x:c r="M61" s="28" t="n">
        <x:f>SUMIF('Stage Timing'!$B$2:$B$500,A61,'Stage Timing'!$H$2:$H$500)</x:f>
        <x:v>0</x:v>
      </x:c>
      <x:c r="N61" s="28" t="n">
        <x:f>SUMIF('Stage Timing'!$B$2:$B$500,A61,'Stage Timing'!$I$2:$I$500)</x:f>
        <x:v>0</x:v>
      </x:c>
      <x:c r="O61" s="28"/>
      <x:c r="P61" s="32" t="str">
        <x:f>IF(F61&gt;0,L61/60/F61,"")</x:f>
      </x:c>
      <x:c r="Q61" s="32" t="str">
        <x:f>IF(F61&gt;0,N61/60/F61,"")</x:f>
      </x:c>
      <x:c r="R61" s="32" t="str">
        <x:f>IF(L61&gt;0,F61/(L61/3600),"")</x:f>
      </x:c>
      <x:c r="S61" s="28"/>
      <x:c r="T61" s="28"/>
      <x:c r="U61" s="28"/>
    </x:row>
    <x:row r="62">
      <x:c r="A62" s="28"/>
      <x:c r="B62" s="28"/>
      <x:c r="C62" s="30"/>
      <x:c r="D62" s="28"/>
      <x:c r="E62" s="28"/>
      <x:c r="F62" s="28"/>
      <x:c r="G62" s="28"/>
      <x:c r="H62" s="28"/>
      <x:c r="I62" s="28"/>
      <x:c r="J62" s="28"/>
      <x:c r="K62" s="28"/>
      <x:c r="L62" s="28" t="n">
        <x:f>SUMIF('Stage Timing'!$B$2:$B$500,A62,'Stage Timing'!$G$2:$G$500)</x:f>
        <x:v>0</x:v>
      </x:c>
      <x:c r="M62" s="28" t="n">
        <x:f>SUMIF('Stage Timing'!$B$2:$B$500,A62,'Stage Timing'!$H$2:$H$500)</x:f>
        <x:v>0</x:v>
      </x:c>
      <x:c r="N62" s="28" t="n">
        <x:f>SUMIF('Stage Timing'!$B$2:$B$500,A62,'Stage Timing'!$I$2:$I$500)</x:f>
        <x:v>0</x:v>
      </x:c>
      <x:c r="O62" s="28"/>
      <x:c r="P62" s="32" t="str">
        <x:f>IF(F62&gt;0,L62/60/F62,"")</x:f>
      </x:c>
      <x:c r="Q62" s="32" t="str">
        <x:f>IF(F62&gt;0,N62/60/F62,"")</x:f>
      </x:c>
      <x:c r="R62" s="32" t="str">
        <x:f>IF(L62&gt;0,F62/(L62/3600),"")</x:f>
      </x:c>
      <x:c r="S62" s="28"/>
      <x:c r="T62" s="28"/>
      <x:c r="U62" s="28"/>
    </x:row>
    <x:row r="63">
      <x:c r="A63" s="28"/>
      <x:c r="B63" s="28"/>
      <x:c r="C63" s="30"/>
      <x:c r="D63" s="28"/>
      <x:c r="E63" s="28"/>
      <x:c r="F63" s="28"/>
      <x:c r="G63" s="28"/>
      <x:c r="H63" s="28"/>
      <x:c r="I63" s="28"/>
      <x:c r="J63" s="28"/>
      <x:c r="K63" s="28"/>
      <x:c r="L63" s="28" t="n">
        <x:f>SUMIF('Stage Timing'!$B$2:$B$500,A63,'Stage Timing'!$G$2:$G$500)</x:f>
        <x:v>0</x:v>
      </x:c>
      <x:c r="M63" s="28" t="n">
        <x:f>SUMIF('Stage Timing'!$B$2:$B$500,A63,'Stage Timing'!$H$2:$H$500)</x:f>
        <x:v>0</x:v>
      </x:c>
      <x:c r="N63" s="28" t="n">
        <x:f>SUMIF('Stage Timing'!$B$2:$B$500,A63,'Stage Timing'!$I$2:$I$500)</x:f>
        <x:v>0</x:v>
      </x:c>
      <x:c r="O63" s="28"/>
      <x:c r="P63" s="32" t="str">
        <x:f>IF(F63&gt;0,L63/60/F63,"")</x:f>
      </x:c>
      <x:c r="Q63" s="32" t="str">
        <x:f>IF(F63&gt;0,N63/60/F63,"")</x:f>
      </x:c>
      <x:c r="R63" s="32" t="str">
        <x:f>IF(L63&gt;0,F63/(L63/3600),"")</x:f>
      </x:c>
      <x:c r="S63" s="28"/>
      <x:c r="T63" s="28"/>
      <x:c r="U63" s="28"/>
    </x:row>
    <x:row r="64">
      <x:c r="A64" s="28"/>
      <x:c r="B64" s="28"/>
      <x:c r="C64" s="30"/>
      <x:c r="D64" s="28"/>
      <x:c r="E64" s="28"/>
      <x:c r="F64" s="28"/>
      <x:c r="G64" s="28"/>
      <x:c r="H64" s="28"/>
      <x:c r="I64" s="28"/>
      <x:c r="J64" s="28"/>
      <x:c r="K64" s="28"/>
      <x:c r="L64" s="28" t="n">
        <x:f>SUMIF('Stage Timing'!$B$2:$B$500,A64,'Stage Timing'!$G$2:$G$500)</x:f>
        <x:v>0</x:v>
      </x:c>
      <x:c r="M64" s="28" t="n">
        <x:f>SUMIF('Stage Timing'!$B$2:$B$500,A64,'Stage Timing'!$H$2:$H$500)</x:f>
        <x:v>0</x:v>
      </x:c>
      <x:c r="N64" s="28" t="n">
        <x:f>SUMIF('Stage Timing'!$B$2:$B$500,A64,'Stage Timing'!$I$2:$I$500)</x:f>
        <x:v>0</x:v>
      </x:c>
      <x:c r="O64" s="28"/>
      <x:c r="P64" s="32" t="str">
        <x:f>IF(F64&gt;0,L64/60/F64,"")</x:f>
      </x:c>
      <x:c r="Q64" s="32" t="str">
        <x:f>IF(F64&gt;0,N64/60/F64,"")</x:f>
      </x:c>
      <x:c r="R64" s="32" t="str">
        <x:f>IF(L64&gt;0,F64/(L64/3600),"")</x:f>
      </x:c>
      <x:c r="S64" s="28"/>
      <x:c r="T64" s="28"/>
      <x:c r="U64" s="28"/>
    </x:row>
    <x:row r="65">
      <x:c r="A65" s="28"/>
      <x:c r="B65" s="28"/>
      <x:c r="C65" s="30"/>
      <x:c r="D65" s="28"/>
      <x:c r="E65" s="28"/>
      <x:c r="F65" s="28"/>
      <x:c r="G65" s="28"/>
      <x:c r="H65" s="28"/>
      <x:c r="I65" s="28"/>
      <x:c r="J65" s="28"/>
      <x:c r="K65" s="28"/>
      <x:c r="L65" s="28" t="n">
        <x:f>SUMIF('Stage Timing'!$B$2:$B$500,A65,'Stage Timing'!$G$2:$G$500)</x:f>
        <x:v>0</x:v>
      </x:c>
      <x:c r="M65" s="28" t="n">
        <x:f>SUMIF('Stage Timing'!$B$2:$B$500,A65,'Stage Timing'!$H$2:$H$500)</x:f>
        <x:v>0</x:v>
      </x:c>
      <x:c r="N65" s="28" t="n">
        <x:f>SUMIF('Stage Timing'!$B$2:$B$500,A65,'Stage Timing'!$I$2:$I$500)</x:f>
        <x:v>0</x:v>
      </x:c>
      <x:c r="O65" s="28"/>
      <x:c r="P65" s="32" t="str">
        <x:f>IF(F65&gt;0,L65/60/F65,"")</x:f>
      </x:c>
      <x:c r="Q65" s="32" t="str">
        <x:f>IF(F65&gt;0,N65/60/F65,"")</x:f>
      </x:c>
      <x:c r="R65" s="32" t="str">
        <x:f>IF(L65&gt;0,F65/(L65/3600),"")</x:f>
      </x:c>
      <x:c r="S65" s="28"/>
      <x:c r="T65" s="28"/>
      <x:c r="U65" s="28"/>
    </x:row>
    <x:row r="66">
      <x:c r="A66" s="28"/>
      <x:c r="B66" s="28"/>
      <x:c r="C66" s="30"/>
      <x:c r="D66" s="28"/>
      <x:c r="E66" s="28"/>
      <x:c r="F66" s="28"/>
      <x:c r="G66" s="28"/>
      <x:c r="H66" s="28"/>
      <x:c r="I66" s="28"/>
      <x:c r="J66" s="28"/>
      <x:c r="K66" s="28"/>
      <x:c r="L66" s="28" t="n">
        <x:f>SUMIF('Stage Timing'!$B$2:$B$500,A66,'Stage Timing'!$G$2:$G$500)</x:f>
        <x:v>0</x:v>
      </x:c>
      <x:c r="M66" s="28" t="n">
        <x:f>SUMIF('Stage Timing'!$B$2:$B$500,A66,'Stage Timing'!$H$2:$H$500)</x:f>
        <x:v>0</x:v>
      </x:c>
      <x:c r="N66" s="28" t="n">
        <x:f>SUMIF('Stage Timing'!$B$2:$B$500,A66,'Stage Timing'!$I$2:$I$500)</x:f>
        <x:v>0</x:v>
      </x:c>
      <x:c r="O66" s="28"/>
      <x:c r="P66" s="32" t="str">
        <x:f>IF(F66&gt;0,L66/60/F66,"")</x:f>
      </x:c>
      <x:c r="Q66" s="32" t="str">
        <x:f>IF(F66&gt;0,N66/60/F66,"")</x:f>
      </x:c>
      <x:c r="R66" s="32" t="str">
        <x:f>IF(L66&gt;0,F66/(L66/3600),"")</x:f>
      </x:c>
      <x:c r="S66" s="28"/>
      <x:c r="T66" s="28"/>
      <x:c r="U66" s="28"/>
    </x:row>
    <x:row r="67">
      <x:c r="A67" s="28"/>
      <x:c r="B67" s="28"/>
      <x:c r="C67" s="30"/>
      <x:c r="D67" s="28"/>
      <x:c r="E67" s="28"/>
      <x:c r="F67" s="28"/>
      <x:c r="G67" s="28"/>
      <x:c r="H67" s="28"/>
      <x:c r="I67" s="28"/>
      <x:c r="J67" s="28"/>
      <x:c r="K67" s="28"/>
      <x:c r="L67" s="28" t="n">
        <x:f>SUMIF('Stage Timing'!$B$2:$B$500,A67,'Stage Timing'!$G$2:$G$500)</x:f>
        <x:v>0</x:v>
      </x:c>
      <x:c r="M67" s="28" t="n">
        <x:f>SUMIF('Stage Timing'!$B$2:$B$500,A67,'Stage Timing'!$H$2:$H$500)</x:f>
        <x:v>0</x:v>
      </x:c>
      <x:c r="N67" s="28" t="n">
        <x:f>SUMIF('Stage Timing'!$B$2:$B$500,A67,'Stage Timing'!$I$2:$I$500)</x:f>
        <x:v>0</x:v>
      </x:c>
      <x:c r="O67" s="28"/>
      <x:c r="P67" s="32" t="str">
        <x:f>IF(F67&gt;0,L67/60/F67,"")</x:f>
      </x:c>
      <x:c r="Q67" s="32" t="str">
        <x:f>IF(F67&gt;0,N67/60/F67,"")</x:f>
      </x:c>
      <x:c r="R67" s="32" t="str">
        <x:f>IF(L67&gt;0,F67/(L67/3600),"")</x:f>
      </x:c>
      <x:c r="S67" s="28"/>
      <x:c r="T67" s="28"/>
      <x:c r="U67" s="28"/>
    </x:row>
    <x:row r="68">
      <x:c r="A68" s="28"/>
      <x:c r="B68" s="28"/>
      <x:c r="C68" s="30"/>
      <x:c r="D68" s="28"/>
      <x:c r="E68" s="28"/>
      <x:c r="F68" s="28"/>
      <x:c r="G68" s="28"/>
      <x:c r="H68" s="28"/>
      <x:c r="I68" s="28"/>
      <x:c r="J68" s="28"/>
      <x:c r="K68" s="28"/>
      <x:c r="L68" s="28" t="n">
        <x:f>SUMIF('Stage Timing'!$B$2:$B$500,A68,'Stage Timing'!$G$2:$G$500)</x:f>
        <x:v>0</x:v>
      </x:c>
      <x:c r="M68" s="28" t="n">
        <x:f>SUMIF('Stage Timing'!$B$2:$B$500,A68,'Stage Timing'!$H$2:$H$500)</x:f>
        <x:v>0</x:v>
      </x:c>
      <x:c r="N68" s="28" t="n">
        <x:f>SUMIF('Stage Timing'!$B$2:$B$500,A68,'Stage Timing'!$I$2:$I$500)</x:f>
        <x:v>0</x:v>
      </x:c>
      <x:c r="O68" s="28"/>
      <x:c r="P68" s="32" t="str">
        <x:f>IF(F68&gt;0,L68/60/F68,"")</x:f>
      </x:c>
      <x:c r="Q68" s="32" t="str">
        <x:f>IF(F68&gt;0,N68/60/F68,"")</x:f>
      </x:c>
      <x:c r="R68" s="32" t="str">
        <x:f>IF(L68&gt;0,F68/(L68/3600),"")</x:f>
      </x:c>
      <x:c r="S68" s="28"/>
      <x:c r="T68" s="28"/>
      <x:c r="U68" s="28"/>
    </x:row>
    <x:row r="69">
      <x:c r="A69" s="28"/>
      <x:c r="B69" s="28"/>
      <x:c r="C69" s="30"/>
      <x:c r="D69" s="28"/>
      <x:c r="E69" s="28"/>
      <x:c r="F69" s="28"/>
      <x:c r="G69" s="28"/>
      <x:c r="H69" s="28"/>
      <x:c r="I69" s="28"/>
      <x:c r="J69" s="28"/>
      <x:c r="K69" s="28"/>
      <x:c r="L69" s="28" t="n">
        <x:f>SUMIF('Stage Timing'!$B$2:$B$500,A69,'Stage Timing'!$G$2:$G$500)</x:f>
        <x:v>0</x:v>
      </x:c>
      <x:c r="M69" s="28" t="n">
        <x:f>SUMIF('Stage Timing'!$B$2:$B$500,A69,'Stage Timing'!$H$2:$H$500)</x:f>
        <x:v>0</x:v>
      </x:c>
      <x:c r="N69" s="28" t="n">
        <x:f>SUMIF('Stage Timing'!$B$2:$B$500,A69,'Stage Timing'!$I$2:$I$500)</x:f>
        <x:v>0</x:v>
      </x:c>
      <x:c r="O69" s="28"/>
      <x:c r="P69" s="32" t="str">
        <x:f>IF(F69&gt;0,L69/60/F69,"")</x:f>
      </x:c>
      <x:c r="Q69" s="32" t="str">
        <x:f>IF(F69&gt;0,N69/60/F69,"")</x:f>
      </x:c>
      <x:c r="R69" s="32" t="str">
        <x:f>IF(L69&gt;0,F69/(L69/3600),"")</x:f>
      </x:c>
      <x:c r="S69" s="28"/>
      <x:c r="T69" s="28"/>
      <x:c r="U69" s="28"/>
    </x:row>
    <x:row r="70">
      <x:c r="A70" s="28"/>
      <x:c r="B70" s="28"/>
      <x:c r="C70" s="30"/>
      <x:c r="D70" s="28"/>
      <x:c r="E70" s="28"/>
      <x:c r="F70" s="28"/>
      <x:c r="G70" s="28"/>
      <x:c r="H70" s="28"/>
      <x:c r="I70" s="28"/>
      <x:c r="J70" s="28"/>
      <x:c r="K70" s="28"/>
      <x:c r="L70" s="28" t="n">
        <x:f>SUMIF('Stage Timing'!$B$2:$B$500,A70,'Stage Timing'!$G$2:$G$500)</x:f>
        <x:v>0</x:v>
      </x:c>
      <x:c r="M70" s="28" t="n">
        <x:f>SUMIF('Stage Timing'!$B$2:$B$500,A70,'Stage Timing'!$H$2:$H$500)</x:f>
        <x:v>0</x:v>
      </x:c>
      <x:c r="N70" s="28" t="n">
        <x:f>SUMIF('Stage Timing'!$B$2:$B$500,A70,'Stage Timing'!$I$2:$I$500)</x:f>
        <x:v>0</x:v>
      </x:c>
      <x:c r="O70" s="28"/>
      <x:c r="P70" s="32" t="str">
        <x:f>IF(F70&gt;0,L70/60/F70,"")</x:f>
      </x:c>
      <x:c r="Q70" s="32" t="str">
        <x:f>IF(F70&gt;0,N70/60/F70,"")</x:f>
      </x:c>
      <x:c r="R70" s="32" t="str">
        <x:f>IF(L70&gt;0,F70/(L70/3600),"")</x:f>
      </x:c>
      <x:c r="S70" s="28"/>
      <x:c r="T70" s="28"/>
      <x:c r="U70" s="28"/>
    </x:row>
    <x:row r="71">
      <x:c r="A71" s="28"/>
      <x:c r="B71" s="28"/>
      <x:c r="C71" s="30"/>
      <x:c r="D71" s="28"/>
      <x:c r="E71" s="28"/>
      <x:c r="F71" s="28"/>
      <x:c r="G71" s="28"/>
      <x:c r="H71" s="28"/>
      <x:c r="I71" s="28"/>
      <x:c r="J71" s="28"/>
      <x:c r="K71" s="28"/>
      <x:c r="L71" s="28" t="n">
        <x:f>SUMIF('Stage Timing'!$B$2:$B$500,A71,'Stage Timing'!$G$2:$G$500)</x:f>
        <x:v>0</x:v>
      </x:c>
      <x:c r="M71" s="28" t="n">
        <x:f>SUMIF('Stage Timing'!$B$2:$B$500,A71,'Stage Timing'!$H$2:$H$500)</x:f>
        <x:v>0</x:v>
      </x:c>
      <x:c r="N71" s="28" t="n">
        <x:f>SUMIF('Stage Timing'!$B$2:$B$500,A71,'Stage Timing'!$I$2:$I$500)</x:f>
        <x:v>0</x:v>
      </x:c>
      <x:c r="O71" s="28"/>
      <x:c r="P71" s="32" t="str">
        <x:f>IF(F71&gt;0,L71/60/F71,"")</x:f>
      </x:c>
      <x:c r="Q71" s="32" t="str">
        <x:f>IF(F71&gt;0,N71/60/F71,"")</x:f>
      </x:c>
      <x:c r="R71" s="32" t="str">
        <x:f>IF(L71&gt;0,F71/(L71/3600),"")</x:f>
      </x:c>
      <x:c r="S71" s="28"/>
      <x:c r="T71" s="28"/>
      <x:c r="U71" s="28"/>
    </x:row>
    <x:row r="72">
      <x:c r="A72" s="28"/>
      <x:c r="B72" s="28"/>
      <x:c r="C72" s="30"/>
      <x:c r="D72" s="28"/>
      <x:c r="E72" s="28"/>
      <x:c r="F72" s="28"/>
      <x:c r="G72" s="28"/>
      <x:c r="H72" s="28"/>
      <x:c r="I72" s="28"/>
      <x:c r="J72" s="28"/>
      <x:c r="K72" s="28"/>
      <x:c r="L72" s="28" t="n">
        <x:f>SUMIF('Stage Timing'!$B$2:$B$500,A72,'Stage Timing'!$G$2:$G$500)</x:f>
        <x:v>0</x:v>
      </x:c>
      <x:c r="M72" s="28" t="n">
        <x:f>SUMIF('Stage Timing'!$B$2:$B$500,A72,'Stage Timing'!$H$2:$H$500)</x:f>
        <x:v>0</x:v>
      </x:c>
      <x:c r="N72" s="28" t="n">
        <x:f>SUMIF('Stage Timing'!$B$2:$B$500,A72,'Stage Timing'!$I$2:$I$500)</x:f>
        <x:v>0</x:v>
      </x:c>
      <x:c r="O72" s="28"/>
      <x:c r="P72" s="32" t="str">
        <x:f>IF(F72&gt;0,L72/60/F72,"")</x:f>
      </x:c>
      <x:c r="Q72" s="32" t="str">
        <x:f>IF(F72&gt;0,N72/60/F72,"")</x:f>
      </x:c>
      <x:c r="R72" s="32" t="str">
        <x:f>IF(L72&gt;0,F72/(L72/3600),"")</x:f>
      </x:c>
      <x:c r="S72" s="28"/>
      <x:c r="T72" s="28"/>
      <x:c r="U72" s="28"/>
    </x:row>
    <x:row r="73">
      <x:c r="A73" s="28"/>
      <x:c r="B73" s="28"/>
      <x:c r="C73" s="30"/>
      <x:c r="D73" s="28"/>
      <x:c r="E73" s="28"/>
      <x:c r="F73" s="28"/>
      <x:c r="G73" s="28"/>
      <x:c r="H73" s="28"/>
      <x:c r="I73" s="28"/>
      <x:c r="J73" s="28"/>
      <x:c r="K73" s="28"/>
      <x:c r="L73" s="28" t="n">
        <x:f>SUMIF('Stage Timing'!$B$2:$B$500,A73,'Stage Timing'!$G$2:$G$500)</x:f>
        <x:v>0</x:v>
      </x:c>
      <x:c r="M73" s="28" t="n">
        <x:f>SUMIF('Stage Timing'!$B$2:$B$500,A73,'Stage Timing'!$H$2:$H$500)</x:f>
        <x:v>0</x:v>
      </x:c>
      <x:c r="N73" s="28" t="n">
        <x:f>SUMIF('Stage Timing'!$B$2:$B$500,A73,'Stage Timing'!$I$2:$I$500)</x:f>
        <x:v>0</x:v>
      </x:c>
      <x:c r="O73" s="28"/>
      <x:c r="P73" s="32" t="str">
        <x:f>IF(F73&gt;0,L73/60/F73,"")</x:f>
      </x:c>
      <x:c r="Q73" s="32" t="str">
        <x:f>IF(F73&gt;0,N73/60/F73,"")</x:f>
      </x:c>
      <x:c r="R73" s="32" t="str">
        <x:f>IF(L73&gt;0,F73/(L73/3600),"")</x:f>
      </x:c>
      <x:c r="S73" s="28"/>
      <x:c r="T73" s="28"/>
      <x:c r="U73" s="28"/>
    </x:row>
    <x:row r="74">
      <x:c r="A74" s="28"/>
      <x:c r="B74" s="28"/>
      <x:c r="C74" s="30"/>
      <x:c r="D74" s="28"/>
      <x:c r="E74" s="28"/>
      <x:c r="F74" s="28"/>
      <x:c r="G74" s="28"/>
      <x:c r="H74" s="28"/>
      <x:c r="I74" s="28"/>
      <x:c r="J74" s="28"/>
      <x:c r="K74" s="28"/>
      <x:c r="L74" s="28" t="n">
        <x:f>SUMIF('Stage Timing'!$B$2:$B$500,A74,'Stage Timing'!$G$2:$G$500)</x:f>
        <x:v>0</x:v>
      </x:c>
      <x:c r="M74" s="28" t="n">
        <x:f>SUMIF('Stage Timing'!$B$2:$B$500,A74,'Stage Timing'!$H$2:$H$500)</x:f>
        <x:v>0</x:v>
      </x:c>
      <x:c r="N74" s="28" t="n">
        <x:f>SUMIF('Stage Timing'!$B$2:$B$500,A74,'Stage Timing'!$I$2:$I$500)</x:f>
        <x:v>0</x:v>
      </x:c>
      <x:c r="O74" s="28"/>
      <x:c r="P74" s="32" t="str">
        <x:f>IF(F74&gt;0,L74/60/F74,"")</x:f>
      </x:c>
      <x:c r="Q74" s="32" t="str">
        <x:f>IF(F74&gt;0,N74/60/F74,"")</x:f>
      </x:c>
      <x:c r="R74" s="32" t="str">
        <x:f>IF(L74&gt;0,F74/(L74/3600),"")</x:f>
      </x:c>
      <x:c r="S74" s="28"/>
      <x:c r="T74" s="28"/>
      <x:c r="U74" s="28"/>
    </x:row>
    <x:row r="75">
      <x:c r="A75" s="28"/>
      <x:c r="B75" s="28"/>
      <x:c r="C75" s="30"/>
      <x:c r="D75" s="28"/>
      <x:c r="E75" s="28"/>
      <x:c r="F75" s="28"/>
      <x:c r="G75" s="28"/>
      <x:c r="H75" s="28"/>
      <x:c r="I75" s="28"/>
      <x:c r="J75" s="28"/>
      <x:c r="K75" s="28"/>
      <x:c r="L75" s="28" t="n">
        <x:f>SUMIF('Stage Timing'!$B$2:$B$500,A75,'Stage Timing'!$G$2:$G$500)</x:f>
        <x:v>0</x:v>
      </x:c>
      <x:c r="M75" s="28" t="n">
        <x:f>SUMIF('Stage Timing'!$B$2:$B$500,A75,'Stage Timing'!$H$2:$H$500)</x:f>
        <x:v>0</x:v>
      </x:c>
      <x:c r="N75" s="28" t="n">
        <x:f>SUMIF('Stage Timing'!$B$2:$B$500,A75,'Stage Timing'!$I$2:$I$500)</x:f>
        <x:v>0</x:v>
      </x:c>
      <x:c r="O75" s="28"/>
      <x:c r="P75" s="32" t="str">
        <x:f>IF(F75&gt;0,L75/60/F75,"")</x:f>
      </x:c>
      <x:c r="Q75" s="32" t="str">
        <x:f>IF(F75&gt;0,N75/60/F75,"")</x:f>
      </x:c>
      <x:c r="R75" s="32" t="str">
        <x:f>IF(L75&gt;0,F75/(L75/3600),"")</x:f>
      </x:c>
      <x:c r="S75" s="28"/>
      <x:c r="T75" s="28"/>
      <x:c r="U75" s="28"/>
    </x:row>
    <x:row r="76">
      <x:c r="A76" s="28"/>
      <x:c r="B76" s="28"/>
      <x:c r="C76" s="30"/>
      <x:c r="D76" s="28"/>
      <x:c r="E76" s="28"/>
      <x:c r="F76" s="28"/>
      <x:c r="G76" s="28"/>
      <x:c r="H76" s="28"/>
      <x:c r="I76" s="28"/>
      <x:c r="J76" s="28"/>
      <x:c r="K76" s="28"/>
      <x:c r="L76" s="28" t="n">
        <x:f>SUMIF('Stage Timing'!$B$2:$B$500,A76,'Stage Timing'!$G$2:$G$500)</x:f>
        <x:v>0</x:v>
      </x:c>
      <x:c r="M76" s="28" t="n">
        <x:f>SUMIF('Stage Timing'!$B$2:$B$500,A76,'Stage Timing'!$H$2:$H$500)</x:f>
        <x:v>0</x:v>
      </x:c>
      <x:c r="N76" s="28" t="n">
        <x:f>SUMIF('Stage Timing'!$B$2:$B$500,A76,'Stage Timing'!$I$2:$I$500)</x:f>
        <x:v>0</x:v>
      </x:c>
      <x:c r="O76" s="28"/>
      <x:c r="P76" s="32" t="str">
        <x:f>IF(F76&gt;0,L76/60/F76,"")</x:f>
      </x:c>
      <x:c r="Q76" s="32" t="str">
        <x:f>IF(F76&gt;0,N76/60/F76,"")</x:f>
      </x:c>
      <x:c r="R76" s="32" t="str">
        <x:f>IF(L76&gt;0,F76/(L76/3600),"")</x:f>
      </x:c>
      <x:c r="S76" s="28"/>
      <x:c r="T76" s="28"/>
      <x:c r="U76" s="28"/>
    </x:row>
    <x:row r="77">
      <x:c r="A77" s="28"/>
      <x:c r="B77" s="28"/>
      <x:c r="C77" s="30"/>
      <x:c r="D77" s="28"/>
      <x:c r="E77" s="28"/>
      <x:c r="F77" s="28"/>
      <x:c r="G77" s="28"/>
      <x:c r="H77" s="28"/>
      <x:c r="I77" s="28"/>
      <x:c r="J77" s="28"/>
      <x:c r="K77" s="28"/>
      <x:c r="L77" s="28" t="n">
        <x:f>SUMIF('Stage Timing'!$B$2:$B$500,A77,'Stage Timing'!$G$2:$G$500)</x:f>
        <x:v>0</x:v>
      </x:c>
      <x:c r="M77" s="28" t="n">
        <x:f>SUMIF('Stage Timing'!$B$2:$B$500,A77,'Stage Timing'!$H$2:$H$500)</x:f>
        <x:v>0</x:v>
      </x:c>
      <x:c r="N77" s="28" t="n">
        <x:f>SUMIF('Stage Timing'!$B$2:$B$500,A77,'Stage Timing'!$I$2:$I$500)</x:f>
        <x:v>0</x:v>
      </x:c>
      <x:c r="O77" s="28"/>
      <x:c r="P77" s="32" t="str">
        <x:f>IF(F77&gt;0,L77/60/F77,"")</x:f>
      </x:c>
      <x:c r="Q77" s="32" t="str">
        <x:f>IF(F77&gt;0,N77/60/F77,"")</x:f>
      </x:c>
      <x:c r="R77" s="32" t="str">
        <x:f>IF(L77&gt;0,F77/(L77/3600),"")</x:f>
      </x:c>
      <x:c r="S77" s="28"/>
      <x:c r="T77" s="28"/>
      <x:c r="U77" s="28"/>
    </x:row>
    <x:row r="78">
      <x:c r="A78" s="28"/>
      <x:c r="B78" s="28"/>
      <x:c r="C78" s="30"/>
      <x:c r="D78" s="28"/>
      <x:c r="E78" s="28"/>
      <x:c r="F78" s="28"/>
      <x:c r="G78" s="28"/>
      <x:c r="H78" s="28"/>
      <x:c r="I78" s="28"/>
      <x:c r="J78" s="28"/>
      <x:c r="K78" s="28"/>
      <x:c r="L78" s="28" t="n">
        <x:f>SUMIF('Stage Timing'!$B$2:$B$500,A78,'Stage Timing'!$G$2:$G$500)</x:f>
        <x:v>0</x:v>
      </x:c>
      <x:c r="M78" s="28" t="n">
        <x:f>SUMIF('Stage Timing'!$B$2:$B$500,A78,'Stage Timing'!$H$2:$H$500)</x:f>
        <x:v>0</x:v>
      </x:c>
      <x:c r="N78" s="28" t="n">
        <x:f>SUMIF('Stage Timing'!$B$2:$B$500,A78,'Stage Timing'!$I$2:$I$500)</x:f>
        <x:v>0</x:v>
      </x:c>
      <x:c r="O78" s="28"/>
      <x:c r="P78" s="32" t="str">
        <x:f>IF(F78&gt;0,L78/60/F78,"")</x:f>
      </x:c>
      <x:c r="Q78" s="32" t="str">
        <x:f>IF(F78&gt;0,N78/60/F78,"")</x:f>
      </x:c>
      <x:c r="R78" s="32" t="str">
        <x:f>IF(L78&gt;0,F78/(L78/3600),"")</x:f>
      </x:c>
      <x:c r="S78" s="28"/>
      <x:c r="T78" s="28"/>
      <x:c r="U78" s="28"/>
    </x:row>
    <x:row r="79">
      <x:c r="A79" s="28"/>
      <x:c r="B79" s="28"/>
      <x:c r="C79" s="30"/>
      <x:c r="D79" s="28"/>
      <x:c r="E79" s="28"/>
      <x:c r="F79" s="28"/>
      <x:c r="G79" s="28"/>
      <x:c r="H79" s="28"/>
      <x:c r="I79" s="28"/>
      <x:c r="J79" s="28"/>
      <x:c r="K79" s="28"/>
      <x:c r="L79" s="28" t="n">
        <x:f>SUMIF('Stage Timing'!$B$2:$B$500,A79,'Stage Timing'!$G$2:$G$500)</x:f>
        <x:v>0</x:v>
      </x:c>
      <x:c r="M79" s="28" t="n">
        <x:f>SUMIF('Stage Timing'!$B$2:$B$500,A79,'Stage Timing'!$H$2:$H$500)</x:f>
        <x:v>0</x:v>
      </x:c>
      <x:c r="N79" s="28" t="n">
        <x:f>SUMIF('Stage Timing'!$B$2:$B$500,A79,'Stage Timing'!$I$2:$I$500)</x:f>
        <x:v>0</x:v>
      </x:c>
      <x:c r="O79" s="28"/>
      <x:c r="P79" s="32" t="str">
        <x:f>IF(F79&gt;0,L79/60/F79,"")</x:f>
      </x:c>
      <x:c r="Q79" s="32" t="str">
        <x:f>IF(F79&gt;0,N79/60/F79,"")</x:f>
      </x:c>
      <x:c r="R79" s="32" t="str">
        <x:f>IF(L79&gt;0,F79/(L79/3600),"")</x:f>
      </x:c>
      <x:c r="S79" s="28"/>
      <x:c r="T79" s="28"/>
      <x:c r="U79" s="28"/>
    </x:row>
    <x:row r="80">
      <x:c r="A80" s="28"/>
      <x:c r="B80" s="28"/>
      <x:c r="C80" s="30"/>
      <x:c r="D80" s="28"/>
      <x:c r="E80" s="28"/>
      <x:c r="F80" s="28"/>
      <x:c r="G80" s="28"/>
      <x:c r="H80" s="28"/>
      <x:c r="I80" s="28"/>
      <x:c r="J80" s="28"/>
      <x:c r="K80" s="28"/>
      <x:c r="L80" s="28" t="n">
        <x:f>SUMIF('Stage Timing'!$B$2:$B$500,A80,'Stage Timing'!$G$2:$G$500)</x:f>
        <x:v>0</x:v>
      </x:c>
      <x:c r="M80" s="28" t="n">
        <x:f>SUMIF('Stage Timing'!$B$2:$B$500,A80,'Stage Timing'!$H$2:$H$500)</x:f>
        <x:v>0</x:v>
      </x:c>
      <x:c r="N80" s="28" t="n">
        <x:f>SUMIF('Stage Timing'!$B$2:$B$500,A80,'Stage Timing'!$I$2:$I$500)</x:f>
        <x:v>0</x:v>
      </x:c>
      <x:c r="O80" s="28"/>
      <x:c r="P80" s="32" t="str">
        <x:f>IF(F80&gt;0,L80/60/F80,"")</x:f>
      </x:c>
      <x:c r="Q80" s="32" t="str">
        <x:f>IF(F80&gt;0,N80/60/F80,"")</x:f>
      </x:c>
      <x:c r="R80" s="32" t="str">
        <x:f>IF(L80&gt;0,F80/(L80/3600),"")</x:f>
      </x:c>
      <x:c r="S80" s="28"/>
      <x:c r="T80" s="28"/>
      <x:c r="U80" s="28"/>
    </x:row>
    <x:row r="81">
      <x:c r="A81" s="28"/>
      <x:c r="B81" s="28"/>
      <x:c r="C81" s="30"/>
      <x:c r="D81" s="28"/>
      <x:c r="E81" s="28"/>
      <x:c r="F81" s="28"/>
      <x:c r="G81" s="28"/>
      <x:c r="H81" s="28"/>
      <x:c r="I81" s="28"/>
      <x:c r="J81" s="28"/>
      <x:c r="K81" s="28"/>
      <x:c r="L81" s="28" t="n">
        <x:f>SUMIF('Stage Timing'!$B$2:$B$500,A81,'Stage Timing'!$G$2:$G$500)</x:f>
        <x:v>0</x:v>
      </x:c>
      <x:c r="M81" s="28" t="n">
        <x:f>SUMIF('Stage Timing'!$B$2:$B$500,A81,'Stage Timing'!$H$2:$H$500)</x:f>
        <x:v>0</x:v>
      </x:c>
      <x:c r="N81" s="28" t="n">
        <x:f>SUMIF('Stage Timing'!$B$2:$B$500,A81,'Stage Timing'!$I$2:$I$500)</x:f>
        <x:v>0</x:v>
      </x:c>
      <x:c r="O81" s="28"/>
      <x:c r="P81" s="32" t="str">
        <x:f>IF(F81&gt;0,L81/60/F81,"")</x:f>
      </x:c>
      <x:c r="Q81" s="32" t="str">
        <x:f>IF(F81&gt;0,N81/60/F81,"")</x:f>
      </x:c>
      <x:c r="R81" s="32" t="str">
        <x:f>IF(L81&gt;0,F81/(L81/3600),"")</x:f>
      </x:c>
      <x:c r="S81" s="28"/>
      <x:c r="T81" s="28"/>
      <x:c r="U81" s="28"/>
    </x:row>
    <x:row r="82">
      <x:c r="A82" s="28"/>
      <x:c r="B82" s="28"/>
      <x:c r="C82" s="30"/>
      <x:c r="D82" s="28"/>
      <x:c r="E82" s="28"/>
      <x:c r="F82" s="28"/>
      <x:c r="G82" s="28"/>
      <x:c r="H82" s="28"/>
      <x:c r="I82" s="28"/>
      <x:c r="J82" s="28"/>
      <x:c r="K82" s="28"/>
      <x:c r="L82" s="28" t="n">
        <x:f>SUMIF('Stage Timing'!$B$2:$B$500,A82,'Stage Timing'!$G$2:$G$500)</x:f>
        <x:v>0</x:v>
      </x:c>
      <x:c r="M82" s="28" t="n">
        <x:f>SUMIF('Stage Timing'!$B$2:$B$500,A82,'Stage Timing'!$H$2:$H$500)</x:f>
        <x:v>0</x:v>
      </x:c>
      <x:c r="N82" s="28" t="n">
        <x:f>SUMIF('Stage Timing'!$B$2:$B$500,A82,'Stage Timing'!$I$2:$I$500)</x:f>
        <x:v>0</x:v>
      </x:c>
      <x:c r="O82" s="28"/>
      <x:c r="P82" s="32" t="str">
        <x:f>IF(F82&gt;0,L82/60/F82,"")</x:f>
      </x:c>
      <x:c r="Q82" s="32" t="str">
        <x:f>IF(F82&gt;0,N82/60/F82,"")</x:f>
      </x:c>
      <x:c r="R82" s="32" t="str">
        <x:f>IF(L82&gt;0,F82/(L82/3600),"")</x:f>
      </x:c>
      <x:c r="S82" s="28"/>
      <x:c r="T82" s="28"/>
      <x:c r="U82" s="28"/>
    </x:row>
    <x:row r="83">
      <x:c r="A83" s="28"/>
      <x:c r="B83" s="28"/>
      <x:c r="C83" s="30"/>
      <x:c r="D83" s="28"/>
      <x:c r="E83" s="28"/>
      <x:c r="F83" s="28"/>
      <x:c r="G83" s="28"/>
      <x:c r="H83" s="28"/>
      <x:c r="I83" s="28"/>
      <x:c r="J83" s="28"/>
      <x:c r="K83" s="28"/>
      <x:c r="L83" s="28" t="n">
        <x:f>SUMIF('Stage Timing'!$B$2:$B$500,A83,'Stage Timing'!$G$2:$G$500)</x:f>
        <x:v>0</x:v>
      </x:c>
      <x:c r="M83" s="28" t="n">
        <x:f>SUMIF('Stage Timing'!$B$2:$B$500,A83,'Stage Timing'!$H$2:$H$500)</x:f>
        <x:v>0</x:v>
      </x:c>
      <x:c r="N83" s="28" t="n">
        <x:f>SUMIF('Stage Timing'!$B$2:$B$500,A83,'Stage Timing'!$I$2:$I$500)</x:f>
        <x:v>0</x:v>
      </x:c>
      <x:c r="O83" s="28"/>
      <x:c r="P83" s="32" t="str">
        <x:f>IF(F83&gt;0,L83/60/F83,"")</x:f>
      </x:c>
      <x:c r="Q83" s="32" t="str">
        <x:f>IF(F83&gt;0,N83/60/F83,"")</x:f>
      </x:c>
      <x:c r="R83" s="32" t="str">
        <x:f>IF(L83&gt;0,F83/(L83/3600),"")</x:f>
      </x:c>
      <x:c r="S83" s="28"/>
      <x:c r="T83" s="28"/>
      <x:c r="U83" s="28"/>
    </x:row>
    <x:row r="84">
      <x:c r="A84" s="28"/>
      <x:c r="B84" s="28"/>
      <x:c r="C84" s="30"/>
      <x:c r="D84" s="28"/>
      <x:c r="E84" s="28"/>
      <x:c r="F84" s="28"/>
      <x:c r="G84" s="28"/>
      <x:c r="H84" s="28"/>
      <x:c r="I84" s="28"/>
      <x:c r="J84" s="28"/>
      <x:c r="K84" s="28"/>
      <x:c r="L84" s="28" t="n">
        <x:f>SUMIF('Stage Timing'!$B$2:$B$500,A84,'Stage Timing'!$G$2:$G$500)</x:f>
        <x:v>0</x:v>
      </x:c>
      <x:c r="M84" s="28" t="n">
        <x:f>SUMIF('Stage Timing'!$B$2:$B$500,A84,'Stage Timing'!$H$2:$H$500)</x:f>
        <x:v>0</x:v>
      </x:c>
      <x:c r="N84" s="28" t="n">
        <x:f>SUMIF('Stage Timing'!$B$2:$B$500,A84,'Stage Timing'!$I$2:$I$500)</x:f>
        <x:v>0</x:v>
      </x:c>
      <x:c r="O84" s="28"/>
      <x:c r="P84" s="32" t="str">
        <x:f>IF(F84&gt;0,L84/60/F84,"")</x:f>
      </x:c>
      <x:c r="Q84" s="32" t="str">
        <x:f>IF(F84&gt;0,N84/60/F84,"")</x:f>
      </x:c>
      <x:c r="R84" s="32" t="str">
        <x:f>IF(L84&gt;0,F84/(L84/3600),"")</x:f>
      </x:c>
      <x:c r="S84" s="28"/>
      <x:c r="T84" s="28"/>
      <x:c r="U84" s="28"/>
    </x:row>
    <x:row r="85">
      <x:c r="A85" s="28"/>
      <x:c r="B85" s="28"/>
      <x:c r="C85" s="30"/>
      <x:c r="D85" s="28"/>
      <x:c r="E85" s="28"/>
      <x:c r="F85" s="28"/>
      <x:c r="G85" s="28"/>
      <x:c r="H85" s="28"/>
      <x:c r="I85" s="28"/>
      <x:c r="J85" s="28"/>
      <x:c r="K85" s="28"/>
      <x:c r="L85" s="28" t="n">
        <x:f>SUMIF('Stage Timing'!$B$2:$B$500,A85,'Stage Timing'!$G$2:$G$500)</x:f>
        <x:v>0</x:v>
      </x:c>
      <x:c r="M85" s="28" t="n">
        <x:f>SUMIF('Stage Timing'!$B$2:$B$500,A85,'Stage Timing'!$H$2:$H$500)</x:f>
        <x:v>0</x:v>
      </x:c>
      <x:c r="N85" s="28" t="n">
        <x:f>SUMIF('Stage Timing'!$B$2:$B$500,A85,'Stage Timing'!$I$2:$I$500)</x:f>
        <x:v>0</x:v>
      </x:c>
      <x:c r="O85" s="28"/>
      <x:c r="P85" s="32" t="str">
        <x:f>IF(F85&gt;0,L85/60/F85,"")</x:f>
      </x:c>
      <x:c r="Q85" s="32" t="str">
        <x:f>IF(F85&gt;0,N85/60/F85,"")</x:f>
      </x:c>
      <x:c r="R85" s="32" t="str">
        <x:f>IF(L85&gt;0,F85/(L85/3600),"")</x:f>
      </x:c>
      <x:c r="S85" s="28"/>
      <x:c r="T85" s="28"/>
      <x:c r="U85" s="28"/>
    </x:row>
    <x:row r="86">
      <x:c r="A86" s="28"/>
      <x:c r="B86" s="28"/>
      <x:c r="C86" s="30"/>
      <x:c r="D86" s="28"/>
      <x:c r="E86" s="28"/>
      <x:c r="F86" s="28"/>
      <x:c r="G86" s="28"/>
      <x:c r="H86" s="28"/>
      <x:c r="I86" s="28"/>
      <x:c r="J86" s="28"/>
      <x:c r="K86" s="28"/>
      <x:c r="L86" s="28" t="n">
        <x:f>SUMIF('Stage Timing'!$B$2:$B$500,A86,'Stage Timing'!$G$2:$G$500)</x:f>
        <x:v>0</x:v>
      </x:c>
      <x:c r="M86" s="28" t="n">
        <x:f>SUMIF('Stage Timing'!$B$2:$B$500,A86,'Stage Timing'!$H$2:$H$500)</x:f>
        <x:v>0</x:v>
      </x:c>
      <x:c r="N86" s="28" t="n">
        <x:f>SUMIF('Stage Timing'!$B$2:$B$500,A86,'Stage Timing'!$I$2:$I$500)</x:f>
        <x:v>0</x:v>
      </x:c>
      <x:c r="O86" s="28"/>
      <x:c r="P86" s="32" t="str">
        <x:f>IF(F86&gt;0,L86/60/F86,"")</x:f>
      </x:c>
      <x:c r="Q86" s="32" t="str">
        <x:f>IF(F86&gt;0,N86/60/F86,"")</x:f>
      </x:c>
      <x:c r="R86" s="32" t="str">
        <x:f>IF(L86&gt;0,F86/(L86/3600),"")</x:f>
      </x:c>
      <x:c r="S86" s="28"/>
      <x:c r="T86" s="28"/>
      <x:c r="U86" s="28"/>
    </x:row>
    <x:row r="87">
      <x:c r="A87" s="28"/>
      <x:c r="B87" s="28"/>
      <x:c r="C87" s="30"/>
      <x:c r="D87" s="28"/>
      <x:c r="E87" s="28"/>
      <x:c r="F87" s="28"/>
      <x:c r="G87" s="28"/>
      <x:c r="H87" s="28"/>
      <x:c r="I87" s="28"/>
      <x:c r="J87" s="28"/>
      <x:c r="K87" s="28"/>
      <x:c r="L87" s="28" t="n">
        <x:f>SUMIF('Stage Timing'!$B$2:$B$500,A87,'Stage Timing'!$G$2:$G$500)</x:f>
        <x:v>0</x:v>
      </x:c>
      <x:c r="M87" s="28" t="n">
        <x:f>SUMIF('Stage Timing'!$B$2:$B$500,A87,'Stage Timing'!$H$2:$H$500)</x:f>
        <x:v>0</x:v>
      </x:c>
      <x:c r="N87" s="28" t="n">
        <x:f>SUMIF('Stage Timing'!$B$2:$B$500,A87,'Stage Timing'!$I$2:$I$500)</x:f>
        <x:v>0</x:v>
      </x:c>
      <x:c r="O87" s="28"/>
      <x:c r="P87" s="32" t="str">
        <x:f>IF(F87&gt;0,L87/60/F87,"")</x:f>
      </x:c>
      <x:c r="Q87" s="32" t="str">
        <x:f>IF(F87&gt;0,N87/60/F87,"")</x:f>
      </x:c>
      <x:c r="R87" s="32" t="str">
        <x:f>IF(L87&gt;0,F87/(L87/3600),"")</x:f>
      </x:c>
      <x:c r="S87" s="28"/>
      <x:c r="T87" s="28"/>
      <x:c r="U87" s="28"/>
    </x:row>
    <x:row r="88">
      <x:c r="A88" s="28"/>
      <x:c r="B88" s="28"/>
      <x:c r="C88" s="30"/>
      <x:c r="D88" s="28"/>
      <x:c r="E88" s="28"/>
      <x:c r="F88" s="28"/>
      <x:c r="G88" s="28"/>
      <x:c r="H88" s="28"/>
      <x:c r="I88" s="28"/>
      <x:c r="J88" s="28"/>
      <x:c r="K88" s="28"/>
      <x:c r="L88" s="28" t="n">
        <x:f>SUMIF('Stage Timing'!$B$2:$B$500,A88,'Stage Timing'!$G$2:$G$500)</x:f>
        <x:v>0</x:v>
      </x:c>
      <x:c r="M88" s="28" t="n">
        <x:f>SUMIF('Stage Timing'!$B$2:$B$500,A88,'Stage Timing'!$H$2:$H$500)</x:f>
        <x:v>0</x:v>
      </x:c>
      <x:c r="N88" s="28" t="n">
        <x:f>SUMIF('Stage Timing'!$B$2:$B$500,A88,'Stage Timing'!$I$2:$I$500)</x:f>
        <x:v>0</x:v>
      </x:c>
      <x:c r="O88" s="28"/>
      <x:c r="P88" s="32" t="str">
        <x:f>IF(F88&gt;0,L88/60/F88,"")</x:f>
      </x:c>
      <x:c r="Q88" s="32" t="str">
        <x:f>IF(F88&gt;0,N88/60/F88,"")</x:f>
      </x:c>
      <x:c r="R88" s="32" t="str">
        <x:f>IF(L88&gt;0,F88/(L88/3600),"")</x:f>
      </x:c>
      <x:c r="S88" s="28"/>
      <x:c r="T88" s="28"/>
      <x:c r="U88" s="28"/>
    </x:row>
    <x:row r="89">
      <x:c r="A89" s="28"/>
      <x:c r="B89" s="28"/>
      <x:c r="C89" s="30"/>
      <x:c r="D89" s="28"/>
      <x:c r="E89" s="28"/>
      <x:c r="F89" s="28"/>
      <x:c r="G89" s="28"/>
      <x:c r="H89" s="28"/>
      <x:c r="I89" s="28"/>
      <x:c r="J89" s="28"/>
      <x:c r="K89" s="28"/>
      <x:c r="L89" s="28" t="n">
        <x:f>SUMIF('Stage Timing'!$B$2:$B$500,A89,'Stage Timing'!$G$2:$G$500)</x:f>
        <x:v>0</x:v>
      </x:c>
      <x:c r="M89" s="28" t="n">
        <x:f>SUMIF('Stage Timing'!$B$2:$B$500,A89,'Stage Timing'!$H$2:$H$500)</x:f>
        <x:v>0</x:v>
      </x:c>
      <x:c r="N89" s="28" t="n">
        <x:f>SUMIF('Stage Timing'!$B$2:$B$500,A89,'Stage Timing'!$I$2:$I$500)</x:f>
        <x:v>0</x:v>
      </x:c>
      <x:c r="O89" s="28"/>
      <x:c r="P89" s="32" t="str">
        <x:f>IF(F89&gt;0,L89/60/F89,"")</x:f>
      </x:c>
      <x:c r="Q89" s="32" t="str">
        <x:f>IF(F89&gt;0,N89/60/F89,"")</x:f>
      </x:c>
      <x:c r="R89" s="32" t="str">
        <x:f>IF(L89&gt;0,F89/(L89/3600),"")</x:f>
      </x:c>
      <x:c r="S89" s="28"/>
      <x:c r="T89" s="28"/>
      <x:c r="U89" s="28"/>
    </x:row>
    <x:row r="90">
      <x:c r="A90" s="28"/>
      <x:c r="B90" s="28"/>
      <x:c r="C90" s="30"/>
      <x:c r="D90" s="28"/>
      <x:c r="E90" s="28"/>
      <x:c r="F90" s="28"/>
      <x:c r="G90" s="28"/>
      <x:c r="H90" s="28"/>
      <x:c r="I90" s="28"/>
      <x:c r="J90" s="28"/>
      <x:c r="K90" s="28"/>
      <x:c r="L90" s="28" t="n">
        <x:f>SUMIF('Stage Timing'!$B$2:$B$500,A90,'Stage Timing'!$G$2:$G$500)</x:f>
        <x:v>0</x:v>
      </x:c>
      <x:c r="M90" s="28" t="n">
        <x:f>SUMIF('Stage Timing'!$B$2:$B$500,A90,'Stage Timing'!$H$2:$H$500)</x:f>
        <x:v>0</x:v>
      </x:c>
      <x:c r="N90" s="28" t="n">
        <x:f>SUMIF('Stage Timing'!$B$2:$B$500,A90,'Stage Timing'!$I$2:$I$500)</x:f>
        <x:v>0</x:v>
      </x:c>
      <x:c r="O90" s="28"/>
      <x:c r="P90" s="32" t="str">
        <x:f>IF(F90&gt;0,L90/60/F90,"")</x:f>
      </x:c>
      <x:c r="Q90" s="32" t="str">
        <x:f>IF(F90&gt;0,N90/60/F90,"")</x:f>
      </x:c>
      <x:c r="R90" s="32" t="str">
        <x:f>IF(L90&gt;0,F90/(L90/3600),"")</x:f>
      </x:c>
      <x:c r="S90" s="28"/>
      <x:c r="T90" s="28"/>
      <x:c r="U90" s="28"/>
    </x:row>
    <x:row r="91">
      <x:c r="A91" s="28"/>
      <x:c r="B91" s="28"/>
      <x:c r="C91" s="30"/>
      <x:c r="D91" s="28"/>
      <x:c r="E91" s="28"/>
      <x:c r="F91" s="28"/>
      <x:c r="G91" s="28"/>
      <x:c r="H91" s="28"/>
      <x:c r="I91" s="28"/>
      <x:c r="J91" s="28"/>
      <x:c r="K91" s="28"/>
      <x:c r="L91" s="28" t="n">
        <x:f>SUMIF('Stage Timing'!$B$2:$B$500,A91,'Stage Timing'!$G$2:$G$500)</x:f>
        <x:v>0</x:v>
      </x:c>
      <x:c r="M91" s="28" t="n">
        <x:f>SUMIF('Stage Timing'!$B$2:$B$500,A91,'Stage Timing'!$H$2:$H$500)</x:f>
        <x:v>0</x:v>
      </x:c>
      <x:c r="N91" s="28" t="n">
        <x:f>SUMIF('Stage Timing'!$B$2:$B$500,A91,'Stage Timing'!$I$2:$I$500)</x:f>
        <x:v>0</x:v>
      </x:c>
      <x:c r="O91" s="28"/>
      <x:c r="P91" s="32" t="str">
        <x:f>IF(F91&gt;0,L91/60/F91,"")</x:f>
      </x:c>
      <x:c r="Q91" s="32" t="str">
        <x:f>IF(F91&gt;0,N91/60/F91,"")</x:f>
      </x:c>
      <x:c r="R91" s="32" t="str">
        <x:f>IF(L91&gt;0,F91/(L91/3600),"")</x:f>
      </x:c>
      <x:c r="S91" s="28"/>
      <x:c r="T91" s="28"/>
      <x:c r="U91" s="28"/>
    </x:row>
    <x:row r="92">
      <x:c r="A92" s="28"/>
      <x:c r="B92" s="28"/>
      <x:c r="C92" s="30"/>
      <x:c r="D92" s="28"/>
      <x:c r="E92" s="28"/>
      <x:c r="F92" s="28"/>
      <x:c r="G92" s="28"/>
      <x:c r="H92" s="28"/>
      <x:c r="I92" s="28"/>
      <x:c r="J92" s="28"/>
      <x:c r="K92" s="28"/>
      <x:c r="L92" s="28" t="n">
        <x:f>SUMIF('Stage Timing'!$B$2:$B$500,A92,'Stage Timing'!$G$2:$G$500)</x:f>
        <x:v>0</x:v>
      </x:c>
      <x:c r="M92" s="28" t="n">
        <x:f>SUMIF('Stage Timing'!$B$2:$B$500,A92,'Stage Timing'!$H$2:$H$500)</x:f>
        <x:v>0</x:v>
      </x:c>
      <x:c r="N92" s="28" t="n">
        <x:f>SUMIF('Stage Timing'!$B$2:$B$500,A92,'Stage Timing'!$I$2:$I$500)</x:f>
        <x:v>0</x:v>
      </x:c>
      <x:c r="O92" s="28"/>
      <x:c r="P92" s="32" t="str">
        <x:f>IF(F92&gt;0,L92/60/F92,"")</x:f>
      </x:c>
      <x:c r="Q92" s="32" t="str">
        <x:f>IF(F92&gt;0,N92/60/F92,"")</x:f>
      </x:c>
      <x:c r="R92" s="32" t="str">
        <x:f>IF(L92&gt;0,F92/(L92/3600),"")</x:f>
      </x:c>
      <x:c r="S92" s="28"/>
      <x:c r="T92" s="28"/>
      <x:c r="U92" s="28"/>
    </x:row>
    <x:row r="93">
      <x:c r="A93" s="28"/>
      <x:c r="B93" s="28"/>
      <x:c r="C93" s="30"/>
      <x:c r="D93" s="28"/>
      <x:c r="E93" s="28"/>
      <x:c r="F93" s="28"/>
      <x:c r="G93" s="28"/>
      <x:c r="H93" s="28"/>
      <x:c r="I93" s="28"/>
      <x:c r="J93" s="28"/>
      <x:c r="K93" s="28"/>
      <x:c r="L93" s="28" t="n">
        <x:f>SUMIF('Stage Timing'!$B$2:$B$500,A93,'Stage Timing'!$G$2:$G$500)</x:f>
        <x:v>0</x:v>
      </x:c>
      <x:c r="M93" s="28" t="n">
        <x:f>SUMIF('Stage Timing'!$B$2:$B$500,A93,'Stage Timing'!$H$2:$H$500)</x:f>
        <x:v>0</x:v>
      </x:c>
      <x:c r="N93" s="28" t="n">
        <x:f>SUMIF('Stage Timing'!$B$2:$B$500,A93,'Stage Timing'!$I$2:$I$500)</x:f>
        <x:v>0</x:v>
      </x:c>
      <x:c r="O93" s="28"/>
      <x:c r="P93" s="32" t="str">
        <x:f>IF(F93&gt;0,L93/60/F93,"")</x:f>
      </x:c>
      <x:c r="Q93" s="32" t="str">
        <x:f>IF(F93&gt;0,N93/60/F93,"")</x:f>
      </x:c>
      <x:c r="R93" s="32" t="str">
        <x:f>IF(L93&gt;0,F93/(L93/3600),"")</x:f>
      </x:c>
      <x:c r="S93" s="28"/>
      <x:c r="T93" s="28"/>
      <x:c r="U93" s="28"/>
    </x:row>
    <x:row r="94">
      <x:c r="A94" s="28"/>
      <x:c r="B94" s="28"/>
      <x:c r="C94" s="30"/>
      <x:c r="D94" s="28"/>
      <x:c r="E94" s="28"/>
      <x:c r="F94" s="28"/>
      <x:c r="G94" s="28"/>
      <x:c r="H94" s="28"/>
      <x:c r="I94" s="28"/>
      <x:c r="J94" s="28"/>
      <x:c r="K94" s="28"/>
      <x:c r="L94" s="28" t="n">
        <x:f>SUMIF('Stage Timing'!$B$2:$B$500,A94,'Stage Timing'!$G$2:$G$500)</x:f>
        <x:v>0</x:v>
      </x:c>
      <x:c r="M94" s="28" t="n">
        <x:f>SUMIF('Stage Timing'!$B$2:$B$500,A94,'Stage Timing'!$H$2:$H$500)</x:f>
        <x:v>0</x:v>
      </x:c>
      <x:c r="N94" s="28" t="n">
        <x:f>SUMIF('Stage Timing'!$B$2:$B$500,A94,'Stage Timing'!$I$2:$I$500)</x:f>
        <x:v>0</x:v>
      </x:c>
      <x:c r="O94" s="28"/>
      <x:c r="P94" s="32" t="str">
        <x:f>IF(F94&gt;0,L94/60/F94,"")</x:f>
      </x:c>
      <x:c r="Q94" s="32" t="str">
        <x:f>IF(F94&gt;0,N94/60/F94,"")</x:f>
      </x:c>
      <x:c r="R94" s="32" t="str">
        <x:f>IF(L94&gt;0,F94/(L94/3600),"")</x:f>
      </x:c>
      <x:c r="S94" s="28"/>
      <x:c r="T94" s="28"/>
      <x:c r="U94" s="28"/>
    </x:row>
    <x:row r="95">
      <x:c r="A95" s="28"/>
      <x:c r="B95" s="28"/>
      <x:c r="C95" s="30"/>
      <x:c r="D95" s="28"/>
      <x:c r="E95" s="28"/>
      <x:c r="F95" s="28"/>
      <x:c r="G95" s="28"/>
      <x:c r="H95" s="28"/>
      <x:c r="I95" s="28"/>
      <x:c r="J95" s="28"/>
      <x:c r="K95" s="28"/>
      <x:c r="L95" s="28" t="n">
        <x:f>SUMIF('Stage Timing'!$B$2:$B$500,A95,'Stage Timing'!$G$2:$G$500)</x:f>
        <x:v>0</x:v>
      </x:c>
      <x:c r="M95" s="28" t="n">
        <x:f>SUMIF('Stage Timing'!$B$2:$B$500,A95,'Stage Timing'!$H$2:$H$500)</x:f>
        <x:v>0</x:v>
      </x:c>
      <x:c r="N95" s="28" t="n">
        <x:f>SUMIF('Stage Timing'!$B$2:$B$500,A95,'Stage Timing'!$I$2:$I$500)</x:f>
        <x:v>0</x:v>
      </x:c>
      <x:c r="O95" s="28"/>
      <x:c r="P95" s="32" t="str">
        <x:f>IF(F95&gt;0,L95/60/F95,"")</x:f>
      </x:c>
      <x:c r="Q95" s="32" t="str">
        <x:f>IF(F95&gt;0,N95/60/F95,"")</x:f>
      </x:c>
      <x:c r="R95" s="32" t="str">
        <x:f>IF(L95&gt;0,F95/(L95/3600),"")</x:f>
      </x:c>
      <x:c r="S95" s="28"/>
      <x:c r="T95" s="28"/>
      <x:c r="U95" s="28"/>
    </x:row>
    <x:row r="96">
      <x:c r="A96" s="28"/>
      <x:c r="B96" s="28"/>
      <x:c r="C96" s="30"/>
      <x:c r="D96" s="28"/>
      <x:c r="E96" s="28"/>
      <x:c r="F96" s="28"/>
      <x:c r="G96" s="28"/>
      <x:c r="H96" s="28"/>
      <x:c r="I96" s="28"/>
      <x:c r="J96" s="28"/>
      <x:c r="K96" s="28"/>
      <x:c r="L96" s="28" t="n">
        <x:f>SUMIF('Stage Timing'!$B$2:$B$500,A96,'Stage Timing'!$G$2:$G$500)</x:f>
        <x:v>0</x:v>
      </x:c>
      <x:c r="M96" s="28" t="n">
        <x:f>SUMIF('Stage Timing'!$B$2:$B$500,A96,'Stage Timing'!$H$2:$H$500)</x:f>
        <x:v>0</x:v>
      </x:c>
      <x:c r="N96" s="28" t="n">
        <x:f>SUMIF('Stage Timing'!$B$2:$B$500,A96,'Stage Timing'!$I$2:$I$500)</x:f>
        <x:v>0</x:v>
      </x:c>
      <x:c r="O96" s="28"/>
      <x:c r="P96" s="32" t="str">
        <x:f>IF(F96&gt;0,L96/60/F96,"")</x:f>
      </x:c>
      <x:c r="Q96" s="32" t="str">
        <x:f>IF(F96&gt;0,N96/60/F96,"")</x:f>
      </x:c>
      <x:c r="R96" s="32" t="str">
        <x:f>IF(L96&gt;0,F96/(L96/3600),"")</x:f>
      </x:c>
      <x:c r="S96" s="28"/>
      <x:c r="T96" s="28"/>
      <x:c r="U96" s="28"/>
    </x:row>
    <x:row r="97">
      <x:c r="A97" s="28"/>
      <x:c r="B97" s="28"/>
      <x:c r="C97" s="30"/>
      <x:c r="D97" s="28"/>
      <x:c r="E97" s="28"/>
      <x:c r="F97" s="28"/>
      <x:c r="G97" s="28"/>
      <x:c r="H97" s="28"/>
      <x:c r="I97" s="28"/>
      <x:c r="J97" s="28"/>
      <x:c r="K97" s="28"/>
      <x:c r="L97" s="28" t="n">
        <x:f>SUMIF('Stage Timing'!$B$2:$B$500,A97,'Stage Timing'!$G$2:$G$500)</x:f>
        <x:v>0</x:v>
      </x:c>
      <x:c r="M97" s="28" t="n">
        <x:f>SUMIF('Stage Timing'!$B$2:$B$500,A97,'Stage Timing'!$H$2:$H$500)</x:f>
        <x:v>0</x:v>
      </x:c>
      <x:c r="N97" s="28" t="n">
        <x:f>SUMIF('Stage Timing'!$B$2:$B$500,A97,'Stage Timing'!$I$2:$I$500)</x:f>
        <x:v>0</x:v>
      </x:c>
      <x:c r="O97" s="28"/>
      <x:c r="P97" s="32" t="str">
        <x:f>IF(F97&gt;0,L97/60/F97,"")</x:f>
      </x:c>
      <x:c r="Q97" s="32" t="str">
        <x:f>IF(F97&gt;0,N97/60/F97,"")</x:f>
      </x:c>
      <x:c r="R97" s="32" t="str">
        <x:f>IF(L97&gt;0,F97/(L97/3600),"")</x:f>
      </x:c>
      <x:c r="S97" s="28"/>
      <x:c r="T97" s="28"/>
      <x:c r="U97" s="28"/>
    </x:row>
    <x:row r="98">
      <x:c r="A98" s="28"/>
      <x:c r="B98" s="28"/>
      <x:c r="C98" s="30"/>
      <x:c r="D98" s="28"/>
      <x:c r="E98" s="28"/>
      <x:c r="F98" s="28"/>
      <x:c r="G98" s="28"/>
      <x:c r="H98" s="28"/>
      <x:c r="I98" s="28"/>
      <x:c r="J98" s="28"/>
      <x:c r="K98" s="28"/>
      <x:c r="L98" s="28" t="n">
        <x:f>SUMIF('Stage Timing'!$B$2:$B$500,A98,'Stage Timing'!$G$2:$G$500)</x:f>
        <x:v>0</x:v>
      </x:c>
      <x:c r="M98" s="28" t="n">
        <x:f>SUMIF('Stage Timing'!$B$2:$B$500,A98,'Stage Timing'!$H$2:$H$500)</x:f>
        <x:v>0</x:v>
      </x:c>
      <x:c r="N98" s="28" t="n">
        <x:f>SUMIF('Stage Timing'!$B$2:$B$500,A98,'Stage Timing'!$I$2:$I$500)</x:f>
        <x:v>0</x:v>
      </x:c>
      <x:c r="O98" s="28"/>
      <x:c r="P98" s="32" t="str">
        <x:f>IF(F98&gt;0,L98/60/F98,"")</x:f>
      </x:c>
      <x:c r="Q98" s="32" t="str">
        <x:f>IF(F98&gt;0,N98/60/F98,"")</x:f>
      </x:c>
      <x:c r="R98" s="32" t="str">
        <x:f>IF(L98&gt;0,F98/(L98/3600),"")</x:f>
      </x:c>
      <x:c r="S98" s="28"/>
      <x:c r="T98" s="28"/>
      <x:c r="U98" s="28"/>
    </x:row>
    <x:row r="99">
      <x:c r="A99" s="28"/>
      <x:c r="B99" s="28"/>
      <x:c r="C99" s="30"/>
      <x:c r="D99" s="28"/>
      <x:c r="E99" s="28"/>
      <x:c r="F99" s="28"/>
      <x:c r="G99" s="28"/>
      <x:c r="H99" s="28"/>
      <x:c r="I99" s="28"/>
      <x:c r="J99" s="28"/>
      <x:c r="K99" s="28"/>
      <x:c r="L99" s="28" t="n">
        <x:f>SUMIF('Stage Timing'!$B$2:$B$500,A99,'Stage Timing'!$G$2:$G$500)</x:f>
        <x:v>0</x:v>
      </x:c>
      <x:c r="M99" s="28" t="n">
        <x:f>SUMIF('Stage Timing'!$B$2:$B$500,A99,'Stage Timing'!$H$2:$H$500)</x:f>
        <x:v>0</x:v>
      </x:c>
      <x:c r="N99" s="28" t="n">
        <x:f>SUMIF('Stage Timing'!$B$2:$B$500,A99,'Stage Timing'!$I$2:$I$500)</x:f>
        <x:v>0</x:v>
      </x:c>
      <x:c r="O99" s="28"/>
      <x:c r="P99" s="32" t="str">
        <x:f>IF(F99&gt;0,L99/60/F99,"")</x:f>
      </x:c>
      <x:c r="Q99" s="32" t="str">
        <x:f>IF(F99&gt;0,N99/60/F99,"")</x:f>
      </x:c>
      <x:c r="R99" s="32" t="str">
        <x:f>IF(L99&gt;0,F99/(L99/3600),"")</x:f>
      </x:c>
      <x:c r="S99" s="28"/>
      <x:c r="T99" s="28"/>
      <x:c r="U99" s="28"/>
    </x:row>
    <x:row r="100">
      <x:c r="A100" s="28"/>
      <x:c r="B100" s="28"/>
      <x:c r="C100" s="30"/>
      <x:c r="D100" s="28"/>
      <x:c r="E100" s="28"/>
      <x:c r="F100" s="28"/>
      <x:c r="G100" s="28"/>
      <x:c r="H100" s="28"/>
      <x:c r="I100" s="28"/>
      <x:c r="J100" s="28"/>
      <x:c r="K100" s="28"/>
      <x:c r="L100" s="28" t="n">
        <x:f>SUMIF('Stage Timing'!$B$2:$B$500,A100,'Stage Timing'!$G$2:$G$500)</x:f>
        <x:v>0</x:v>
      </x:c>
      <x:c r="M100" s="28" t="n">
        <x:f>SUMIF('Stage Timing'!$B$2:$B$500,A100,'Stage Timing'!$H$2:$H$500)</x:f>
        <x:v>0</x:v>
      </x:c>
      <x:c r="N100" s="28" t="n">
        <x:f>SUMIF('Stage Timing'!$B$2:$B$500,A100,'Stage Timing'!$I$2:$I$500)</x:f>
        <x:v>0</x:v>
      </x:c>
      <x:c r="O100" s="28"/>
      <x:c r="P100" s="32" t="str">
        <x:f>IF(F100&gt;0,L100/60/F100,"")</x:f>
      </x:c>
      <x:c r="Q100" s="32" t="str">
        <x:f>IF(F100&gt;0,N100/60/F100,"")</x:f>
      </x:c>
      <x:c r="R100" s="32" t="str">
        <x:f>IF(L100&gt;0,F100/(L100/3600),"")</x:f>
      </x:c>
      <x:c r="S100" s="28"/>
      <x:c r="T100" s="28"/>
      <x:c r="U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</x:row>
  </x:sheetData>
  <x:conditionalFormatting sqref="S2:S100">
    <x:cfRule type="expression" dxfId="3" priority="1">
      <x:formula>S2="Yes"</x:formula>
    </x:cfRule>
  </x:conditionalFormatting>
  <x:dataValidations count="3">
    <x:dataValidation type="list" sqref="D2:D100">
      <x:formula1>"OBSERVED,SYSTEM_SUPPORTED,RECENT_RECALL,GENERAL_ESTIMATE"</x:formula1>
    </x:dataValidation>
    <x:dataValidation type="list" sqref="H2:H100">
      <x:formula1>"Header-only,Line items,Both"</x:formula1>
    </x:dataValidation>
    <x:dataValidation type="list" sqref="S2:S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f4ae1e8cfa4a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0" hidden="0" customWidth="1"/>
    <x:col min="5" max="5" width="18" hidden="0" customWidth="1"/>
    <x:col min="6" max="6" width="28" hidden="0" customWidth="1"/>
    <x:col min="7" max="7" width="16" hidden="0" customWidth="1"/>
    <x:col min="8" max="8" width="20" hidden="0" customWidth="1"/>
    <x:col min="9" max="9" width="16" hidden="0" customWidth="1"/>
    <x:col min="10" max="10" width="18" hidden="0" customWidth="1"/>
    <x:col min="11" max="11" width="14" hidden="0" customWidth="1"/>
    <x:col min="12" max="12" width="36" hidden="0" customWidth="1"/>
  </x:cols>
  <x:sheetData>
    <x:row r="1">
      <x:c r="A1" s="6" t="str">
        <x:v>Timing Row ID</x:v>
      </x:c>
      <x:c r="B1" s="6" t="str">
        <x:v>Observation ID</x:v>
      </x:c>
      <x:c r="C1" s="6" t="str">
        <x:v>Interview ID</x:v>
      </x:c>
      <x:c r="D1" s="6" t="str">
        <x:v>Sequence</x:v>
      </x:c>
      <x:c r="E1" s="6" t="str">
        <x:v>Stage</x:v>
      </x:c>
      <x:c r="F1" s="6" t="str">
        <x:v>Tool/Handoff</x:v>
      </x:c>
      <x:c r="G1" s="6" t="str">
        <x:v>Active Seconds</x:v>
      </x:c>
      <x:c r="H1" s="6" t="str">
        <x:v>System Wait Seconds</x:v>
      </x:c>
      <x:c r="I1" s="6" t="str">
        <x:v>Rework Seconds</x:v>
      </x:c>
      <x:c r="J1" s="6" t="str">
        <x:v>Documents Affected</x:v>
      </x:c>
      <x:c r="K1" s="6" t="str">
        <x:v>Interruption?</x:v>
      </x:c>
      <x:c r="L1" s="6" t="str">
        <x:v>Notes</x:v>
      </x:c>
      <x:c r="M1" s="28"/>
      <x:c r="N1" s="28"/>
      <x:c r="O1" s="28"/>
      <x:c r="P1" s="28"/>
      <x:c r="Q1" s="28"/>
      <x:c r="R1" s="28"/>
      <x:c r="S1" s="28"/>
      <x:c r="T1" s="28"/>
      <x:c r="U1" s="28"/>
    </x:row>
    <x:row r="2">
      <x:c r="A2" s="28" t="str">
        <x:v>TIME-0001</x:v>
      </x:c>
      <x:c r="B2" s="28" t="str"/>
      <x:c r="C2" s="28" t="str"/>
      <x:c r="D2" s="28"/>
      <x:c r="E2" s="28" t="str">
        <x:v>OTHER</x:v>
      </x:c>
      <x:c r="F2" s="28" t="str"/>
      <x:c r="G2" s="28"/>
      <x:c r="H2" s="28"/>
      <x:c r="I2" s="28"/>
      <x:c r="J2" s="28"/>
      <x:c r="K2" s="28" t="str">
        <x:v>No</x:v>
      </x:c>
      <x:c r="L2" s="28" t="str"/>
      <x:c r="M2" s="28"/>
      <x:c r="N2" s="28"/>
      <x:c r="O2" s="28"/>
      <x:c r="P2" s="28"/>
      <x:c r="Q2" s="28"/>
      <x:c r="R2" s="28"/>
      <x:c r="S2" s="28"/>
      <x:c r="T2" s="28"/>
      <x:c r="U2" s="28"/>
    </x:row>
    <x:row r="3">
      <x:c r="A3" s="28" t="str">
        <x:v>TIME-0002</x:v>
      </x:c>
      <x:c r="B3" s="28" t="str"/>
      <x:c r="C3" s="28" t="str"/>
      <x:c r="D3" s="28"/>
      <x:c r="E3" s="28" t="str">
        <x:v>OTHER</x:v>
      </x:c>
      <x:c r="F3" s="28" t="str"/>
      <x:c r="G3" s="28"/>
      <x:c r="H3" s="28"/>
      <x:c r="I3" s="28"/>
      <x:c r="J3" s="28"/>
      <x:c r="K3" s="28" t="str">
        <x:v>No</x:v>
      </x:c>
      <x:c r="L3" s="28" t="str"/>
      <x:c r="M3" s="28"/>
      <x:c r="N3" s="28"/>
      <x:c r="O3" s="28"/>
      <x:c r="P3" s="28"/>
      <x:c r="Q3" s="28"/>
      <x:c r="R3" s="28"/>
      <x:c r="S3" s="28"/>
      <x:c r="T3" s="28"/>
      <x:c r="U3" s="28"/>
    </x:row>
    <x:row r="4">
      <x:c r="A4" s="28" t="str">
        <x:v>TIME-0003</x:v>
      </x:c>
      <x:c r="B4" s="28" t="str"/>
      <x:c r="C4" s="28" t="str"/>
      <x:c r="D4" s="28"/>
      <x:c r="E4" s="28" t="str">
        <x:v>OTHER</x:v>
      </x:c>
      <x:c r="F4" s="28" t="str"/>
      <x:c r="G4" s="28"/>
      <x:c r="H4" s="28"/>
      <x:c r="I4" s="28"/>
      <x:c r="J4" s="28"/>
      <x:c r="K4" s="28" t="str">
        <x:v>No</x:v>
      </x:c>
      <x:c r="L4" s="28" t="str"/>
      <x:c r="M4" s="28"/>
      <x:c r="N4" s="28"/>
      <x:c r="O4" s="28"/>
      <x:c r="P4" s="28"/>
      <x:c r="Q4" s="28"/>
      <x:c r="R4" s="28"/>
      <x:c r="S4" s="28"/>
      <x:c r="T4" s="28"/>
      <x:c r="U4" s="28"/>
    </x:row>
    <x:row r="5">
      <x:c r="A5" s="28" t="str">
        <x:v>TIME-0004</x:v>
      </x:c>
      <x:c r="B5" s="28" t="str"/>
      <x:c r="C5" s="28" t="str"/>
      <x:c r="D5" s="28"/>
      <x:c r="E5" s="28" t="str">
        <x:v>OTHER</x:v>
      </x:c>
      <x:c r="F5" s="28" t="str"/>
      <x:c r="G5" s="28"/>
      <x:c r="H5" s="28"/>
      <x:c r="I5" s="28"/>
      <x:c r="J5" s="28"/>
      <x:c r="K5" s="28" t="str">
        <x:v>No</x:v>
      </x:c>
      <x:c r="L5" s="28" t="str"/>
      <x:c r="M5" s="28"/>
      <x:c r="N5" s="28"/>
      <x:c r="O5" s="28"/>
      <x:c r="P5" s="28"/>
      <x:c r="Q5" s="28"/>
      <x:c r="R5" s="28"/>
      <x:c r="S5" s="28"/>
      <x:c r="T5" s="28"/>
      <x:c r="U5" s="28"/>
    </x:row>
    <x:row r="6">
      <x:c r="A6" s="28" t="str">
        <x:v>TIME-0005</x:v>
      </x:c>
      <x:c r="B6" s="28" t="str"/>
      <x:c r="C6" s="28" t="str"/>
      <x:c r="D6" s="28"/>
      <x:c r="E6" s="28" t="str">
        <x:v>OTHER</x:v>
      </x:c>
      <x:c r="F6" s="28" t="str"/>
      <x:c r="G6" s="28"/>
      <x:c r="H6" s="28"/>
      <x:c r="I6" s="28"/>
      <x:c r="J6" s="28"/>
      <x:c r="K6" s="28" t="str">
        <x:v>No</x:v>
      </x:c>
      <x:c r="L6" s="28" t="str"/>
      <x:c r="M6" s="28"/>
      <x:c r="N6" s="28"/>
      <x:c r="O6" s="28"/>
      <x:c r="P6" s="28"/>
      <x:c r="Q6" s="28"/>
      <x:c r="R6" s="28"/>
      <x:c r="S6" s="28"/>
      <x:c r="T6" s="28"/>
      <x:c r="U6" s="28"/>
    </x:row>
    <x:row r="7">
      <x:c r="A7" s="28" t="str">
        <x:v>TIME-0006</x:v>
      </x:c>
      <x:c r="B7" s="28" t="str"/>
      <x:c r="C7" s="28" t="str"/>
      <x:c r="D7" s="28"/>
      <x:c r="E7" s="28" t="str">
        <x:v>OTHER</x:v>
      </x:c>
      <x:c r="F7" s="28" t="str"/>
      <x:c r="G7" s="28"/>
      <x:c r="H7" s="28"/>
      <x:c r="I7" s="28"/>
      <x:c r="J7" s="28"/>
      <x:c r="K7" s="28" t="str">
        <x:v>No</x:v>
      </x:c>
      <x:c r="L7" s="28" t="str"/>
      <x:c r="M7" s="28"/>
      <x:c r="N7" s="28"/>
      <x:c r="O7" s="28"/>
      <x:c r="P7" s="28"/>
      <x:c r="Q7" s="28"/>
      <x:c r="R7" s="28"/>
      <x:c r="S7" s="28"/>
      <x:c r="T7" s="28"/>
      <x:c r="U7" s="28"/>
    </x:row>
    <x:row r="8">
      <x:c r="A8" s="28" t="str">
        <x:v>TIME-0007</x:v>
      </x:c>
      <x:c r="B8" s="28" t="str"/>
      <x:c r="C8" s="28" t="str"/>
      <x:c r="D8" s="28"/>
      <x:c r="E8" s="28" t="str">
        <x:v>OTHER</x:v>
      </x:c>
      <x:c r="F8" s="28" t="str"/>
      <x:c r="G8" s="28"/>
      <x:c r="H8" s="28"/>
      <x:c r="I8" s="28"/>
      <x:c r="J8" s="28"/>
      <x:c r="K8" s="28" t="str">
        <x:v>No</x:v>
      </x:c>
      <x:c r="L8" s="28" t="str"/>
      <x:c r="M8" s="28"/>
      <x:c r="N8" s="28"/>
      <x:c r="O8" s="28"/>
      <x:c r="P8" s="28"/>
      <x:c r="Q8" s="28"/>
      <x:c r="R8" s="28"/>
      <x:c r="S8" s="28"/>
      <x:c r="T8" s="28"/>
      <x:c r="U8" s="28"/>
    </x:row>
    <x:row r="9">
      <x:c r="A9" s="28" t="str">
        <x:v>TIME-0008</x:v>
      </x:c>
      <x:c r="B9" s="28" t="str"/>
      <x:c r="C9" s="28" t="str"/>
      <x:c r="D9" s="28"/>
      <x:c r="E9" s="28" t="str">
        <x:v>OTHER</x:v>
      </x:c>
      <x:c r="F9" s="28" t="str"/>
      <x:c r="G9" s="28"/>
      <x:c r="H9" s="28"/>
      <x:c r="I9" s="28"/>
      <x:c r="J9" s="28"/>
      <x:c r="K9" s="28" t="str">
        <x:v>No</x:v>
      </x:c>
      <x:c r="L9" s="28" t="str"/>
      <x:c r="M9" s="28"/>
      <x:c r="N9" s="28"/>
      <x:c r="O9" s="28"/>
      <x:c r="P9" s="28"/>
      <x:c r="Q9" s="28"/>
      <x:c r="R9" s="28"/>
      <x:c r="S9" s="28"/>
      <x:c r="T9" s="28"/>
      <x:c r="U9" s="28"/>
    </x:row>
    <x:row r="10">
      <x:c r="A10" s="28" t="str">
        <x:v>TIME-0009</x:v>
      </x:c>
      <x:c r="B10" s="28" t="str"/>
      <x:c r="C10" s="28" t="str"/>
      <x:c r="D10" s="28"/>
      <x:c r="E10" s="28" t="str">
        <x:v>OTHER</x:v>
      </x:c>
      <x:c r="F10" s="28" t="str"/>
      <x:c r="G10" s="28"/>
      <x:c r="H10" s="28"/>
      <x:c r="I10" s="28"/>
      <x:c r="J10" s="28"/>
      <x:c r="K10" s="28" t="str">
        <x:v>No</x:v>
      </x:c>
      <x:c r="L10" s="28" t="str"/>
      <x:c r="M10" s="28"/>
      <x:c r="N10" s="28"/>
      <x:c r="O10" s="28"/>
      <x:c r="P10" s="28"/>
      <x:c r="Q10" s="28"/>
      <x:c r="R10" s="28"/>
      <x:c r="S10" s="28"/>
      <x:c r="T10" s="28"/>
      <x:c r="U10" s="28"/>
    </x:row>
    <x:row r="11">
      <x:c r="A11" s="28" t="str">
        <x:v>TIME-0010</x:v>
      </x:c>
      <x:c r="B11" s="28" t="str"/>
      <x:c r="C11" s="28" t="str"/>
      <x:c r="D11" s="28"/>
      <x:c r="E11" s="28" t="str">
        <x:v>OTHER</x:v>
      </x:c>
      <x:c r="F11" s="28" t="str"/>
      <x:c r="G11" s="28"/>
      <x:c r="H11" s="28"/>
      <x:c r="I11" s="28"/>
      <x:c r="J11" s="28"/>
      <x:c r="K11" s="28" t="str">
        <x:v>No</x:v>
      </x:c>
      <x:c r="L11" s="28" t="str"/>
      <x:c r="M11" s="28"/>
      <x:c r="N11" s="28"/>
      <x:c r="O11" s="28"/>
      <x:c r="P11" s="28"/>
      <x:c r="Q11" s="28"/>
      <x:c r="R11" s="28"/>
      <x:c r="S11" s="28"/>
      <x:c r="T11" s="28"/>
      <x:c r="U11" s="28"/>
    </x:row>
    <x:row r="12">
      <x:c r="A12" s="28" t="str">
        <x:v>TIME-0011</x:v>
      </x:c>
      <x:c r="B12" s="28" t="str"/>
      <x:c r="C12" s="28" t="str"/>
      <x:c r="D12" s="28"/>
      <x:c r="E12" s="28" t="str">
        <x:v>OTHER</x:v>
      </x:c>
      <x:c r="F12" s="28" t="str"/>
      <x:c r="G12" s="28"/>
      <x:c r="H12" s="28"/>
      <x:c r="I12" s="28"/>
      <x:c r="J12" s="28"/>
      <x:c r="K12" s="28" t="str">
        <x:v>No</x:v>
      </x:c>
      <x:c r="L12" s="28" t="str"/>
      <x:c r="M12" s="28"/>
      <x:c r="N12" s="28"/>
      <x:c r="O12" s="28"/>
      <x:c r="P12" s="28"/>
      <x:c r="Q12" s="28"/>
      <x:c r="R12" s="28"/>
      <x:c r="S12" s="28"/>
      <x:c r="T12" s="28"/>
      <x:c r="U12" s="28"/>
    </x:row>
    <x:row r="13">
      <x:c r="A13" s="28" t="str">
        <x:v>TIME-0012</x:v>
      </x:c>
      <x:c r="B13" s="28" t="str"/>
      <x:c r="C13" s="28" t="str"/>
      <x:c r="D13" s="28"/>
      <x:c r="E13" s="28" t="str">
        <x:v>OTHER</x:v>
      </x:c>
      <x:c r="F13" s="28" t="str"/>
      <x:c r="G13" s="28"/>
      <x:c r="H13" s="28"/>
      <x:c r="I13" s="28"/>
      <x:c r="J13" s="28"/>
      <x:c r="K13" s="28" t="str">
        <x:v>No</x:v>
      </x:c>
      <x:c r="L13" s="28" t="str"/>
      <x:c r="M13" s="28"/>
      <x:c r="N13" s="28"/>
      <x:c r="O13" s="28"/>
      <x:c r="P13" s="28"/>
      <x:c r="Q13" s="28"/>
      <x:c r="R13" s="28"/>
      <x:c r="S13" s="28"/>
      <x:c r="T13" s="28"/>
      <x:c r="U13" s="28"/>
    </x:row>
    <x:row r="14">
      <x:c r="A14" s="28" t="str">
        <x:v>TIME-0013</x:v>
      </x:c>
      <x:c r="B14" s="28" t="str"/>
      <x:c r="C14" s="28" t="str"/>
      <x:c r="D14" s="28"/>
      <x:c r="E14" s="28" t="str">
        <x:v>OTHER</x:v>
      </x:c>
      <x:c r="F14" s="28" t="str"/>
      <x:c r="G14" s="28"/>
      <x:c r="H14" s="28"/>
      <x:c r="I14" s="28"/>
      <x:c r="J14" s="28"/>
      <x:c r="K14" s="28" t="str">
        <x:v>No</x:v>
      </x:c>
      <x:c r="L14" s="28" t="str"/>
      <x:c r="M14" s="28"/>
      <x:c r="N14" s="28"/>
      <x:c r="O14" s="28"/>
      <x:c r="P14" s="28"/>
      <x:c r="Q14" s="28"/>
      <x:c r="R14" s="28"/>
      <x:c r="S14" s="28"/>
      <x:c r="T14" s="28"/>
      <x:c r="U14" s="28"/>
    </x:row>
    <x:row r="15">
      <x:c r="A15" s="28" t="str">
        <x:v>TIME-0014</x:v>
      </x:c>
      <x:c r="B15" s="28" t="str"/>
      <x:c r="C15" s="28" t="str"/>
      <x:c r="D15" s="28"/>
      <x:c r="E15" s="28" t="str">
        <x:v>OTHER</x:v>
      </x:c>
      <x:c r="F15" s="28" t="str"/>
      <x:c r="G15" s="28"/>
      <x:c r="H15" s="28"/>
      <x:c r="I15" s="28"/>
      <x:c r="J15" s="28"/>
      <x:c r="K15" s="28" t="str">
        <x:v>No</x:v>
      </x:c>
      <x:c r="L15" s="28" t="str"/>
      <x:c r="M15" s="28"/>
      <x:c r="N15" s="28"/>
      <x:c r="O15" s="28"/>
      <x:c r="P15" s="28"/>
      <x:c r="Q15" s="28"/>
      <x:c r="R15" s="28"/>
      <x:c r="S15" s="28"/>
      <x:c r="T15" s="28"/>
      <x:c r="U15" s="28"/>
    </x:row>
    <x:row r="16">
      <x:c r="A16" s="28" t="str">
        <x:v>TIME-0015</x:v>
      </x:c>
      <x:c r="B16" s="28" t="str"/>
      <x:c r="C16" s="28" t="str"/>
      <x:c r="D16" s="28"/>
      <x:c r="E16" s="28" t="str">
        <x:v>OTHER</x:v>
      </x:c>
      <x:c r="F16" s="28" t="str"/>
      <x:c r="G16" s="28"/>
      <x:c r="H16" s="28"/>
      <x:c r="I16" s="28"/>
      <x:c r="J16" s="28"/>
      <x:c r="K16" s="28" t="str">
        <x:v>No</x:v>
      </x:c>
      <x:c r="L16" s="28" t="str"/>
      <x:c r="M16" s="28"/>
      <x:c r="N16" s="28"/>
      <x:c r="O16" s="28"/>
      <x:c r="P16" s="28"/>
      <x:c r="Q16" s="28"/>
      <x:c r="R16" s="28"/>
      <x:c r="S16" s="28"/>
      <x:c r="T16" s="28"/>
      <x:c r="U16" s="28"/>
    </x:row>
    <x:row r="17">
      <x:c r="A17" s="28" t="str">
        <x:v>TIME-0016</x:v>
      </x:c>
      <x:c r="B17" s="28" t="str"/>
      <x:c r="C17" s="28" t="str"/>
      <x:c r="D17" s="28"/>
      <x:c r="E17" s="28" t="str">
        <x:v>OTHER</x:v>
      </x:c>
      <x:c r="F17" s="28" t="str"/>
      <x:c r="G17" s="28"/>
      <x:c r="H17" s="28"/>
      <x:c r="I17" s="28"/>
      <x:c r="J17" s="28"/>
      <x:c r="K17" s="28" t="str">
        <x:v>No</x:v>
      </x:c>
      <x:c r="L17" s="28" t="str"/>
      <x:c r="M17" s="28"/>
      <x:c r="N17" s="28"/>
      <x:c r="O17" s="28"/>
      <x:c r="P17" s="28"/>
      <x:c r="Q17" s="28"/>
      <x:c r="R17" s="28"/>
      <x:c r="S17" s="28"/>
      <x:c r="T17" s="28"/>
      <x:c r="U17" s="28"/>
    </x:row>
    <x:row r="18">
      <x:c r="A18" s="28" t="str">
        <x:v>TIME-0017</x:v>
      </x:c>
      <x:c r="B18" s="28" t="str"/>
      <x:c r="C18" s="28" t="str"/>
      <x:c r="D18" s="28"/>
      <x:c r="E18" s="28" t="str">
        <x:v>OTHER</x:v>
      </x:c>
      <x:c r="F18" s="28" t="str"/>
      <x:c r="G18" s="28"/>
      <x:c r="H18" s="28"/>
      <x:c r="I18" s="28"/>
      <x:c r="J18" s="28"/>
      <x:c r="K18" s="28" t="str">
        <x:v>No</x:v>
      </x:c>
      <x:c r="L18" s="28" t="str"/>
      <x:c r="M18" s="28"/>
      <x:c r="N18" s="28"/>
      <x:c r="O18" s="28"/>
      <x:c r="P18" s="28"/>
      <x:c r="Q18" s="28"/>
      <x:c r="R18" s="28"/>
      <x:c r="S18" s="28"/>
      <x:c r="T18" s="28"/>
      <x:c r="U18" s="28"/>
    </x:row>
    <x:row r="19">
      <x:c r="A19" s="28" t="str">
        <x:v>TIME-0018</x:v>
      </x:c>
      <x:c r="B19" s="28" t="str"/>
      <x:c r="C19" s="28" t="str"/>
      <x:c r="D19" s="28"/>
      <x:c r="E19" s="28" t="str">
        <x:v>OTHER</x:v>
      </x:c>
      <x:c r="F19" s="28" t="str"/>
      <x:c r="G19" s="28"/>
      <x:c r="H19" s="28"/>
      <x:c r="I19" s="28"/>
      <x:c r="J19" s="28"/>
      <x:c r="K19" s="28" t="str">
        <x:v>No</x:v>
      </x:c>
      <x:c r="L19" s="28" t="str"/>
      <x:c r="M19" s="28"/>
      <x:c r="N19" s="28"/>
      <x:c r="O19" s="28"/>
      <x:c r="P19" s="28"/>
      <x:c r="Q19" s="28"/>
      <x:c r="R19" s="28"/>
      <x:c r="S19" s="28"/>
      <x:c r="T19" s="28"/>
      <x:c r="U19" s="28"/>
    </x:row>
    <x:row r="20">
      <x:c r="A20" s="28" t="str">
        <x:v>TIME-0019</x:v>
      </x:c>
      <x:c r="B20" s="28" t="str"/>
      <x:c r="C20" s="28" t="str"/>
      <x:c r="D20" s="28"/>
      <x:c r="E20" s="28" t="str">
        <x:v>OTHER</x:v>
      </x:c>
      <x:c r="F20" s="28" t="str"/>
      <x:c r="G20" s="28"/>
      <x:c r="H20" s="28"/>
      <x:c r="I20" s="28"/>
      <x:c r="J20" s="28"/>
      <x:c r="K20" s="28" t="str">
        <x:v>No</x:v>
      </x:c>
      <x:c r="L20" s="28" t="str"/>
      <x:c r="M20" s="28"/>
      <x:c r="N20" s="28"/>
      <x:c r="O20" s="28"/>
      <x:c r="P20" s="28"/>
      <x:c r="Q20" s="28"/>
      <x:c r="R20" s="28"/>
      <x:c r="S20" s="28"/>
      <x:c r="T20" s="28"/>
      <x:c r="U20" s="28"/>
    </x:row>
    <x:row r="21">
      <x:c r="A21" s="28" t="str">
        <x:v>TIME-0020</x:v>
      </x:c>
      <x:c r="B21" s="28" t="str"/>
      <x:c r="C21" s="28" t="str"/>
      <x:c r="D21" s="28"/>
      <x:c r="E21" s="28" t="str">
        <x:v>OTHER</x:v>
      </x:c>
      <x:c r="F21" s="28" t="str"/>
      <x:c r="G21" s="28"/>
      <x:c r="H21" s="28"/>
      <x:c r="I21" s="28"/>
      <x:c r="J21" s="28"/>
      <x:c r="K21" s="28" t="str">
        <x:v>No</x:v>
      </x:c>
      <x:c r="L21" s="28" t="str"/>
      <x:c r="M21" s="28"/>
      <x:c r="N21" s="28"/>
      <x:c r="O21" s="28"/>
      <x:c r="P21" s="28"/>
      <x:c r="Q21" s="28"/>
      <x:c r="R21" s="28"/>
      <x:c r="S21" s="28"/>
      <x:c r="T21" s="28"/>
      <x:c r="U21" s="28"/>
    </x:row>
    <x:row r="22">
      <x:c r="A22" s="28" t="str">
        <x:v>TIME-0021</x:v>
      </x:c>
      <x:c r="B22" s="28" t="str"/>
      <x:c r="C22" s="28" t="str"/>
      <x:c r="D22" s="28"/>
      <x:c r="E22" s="28" t="str">
        <x:v>OTHER</x:v>
      </x:c>
      <x:c r="F22" s="28" t="str"/>
      <x:c r="G22" s="28"/>
      <x:c r="H22" s="28"/>
      <x:c r="I22" s="28"/>
      <x:c r="J22" s="28"/>
      <x:c r="K22" s="28" t="str">
        <x:v>No</x:v>
      </x:c>
      <x:c r="L22" s="28" t="str"/>
      <x:c r="M22" s="28"/>
      <x:c r="N22" s="28"/>
      <x:c r="O22" s="28"/>
      <x:c r="P22" s="28"/>
      <x:c r="Q22" s="28"/>
      <x:c r="R22" s="28"/>
      <x:c r="S22" s="28"/>
      <x:c r="T22" s="28"/>
      <x:c r="U22" s="28"/>
    </x:row>
    <x:row r="23">
      <x:c r="A23" s="28" t="str">
        <x:v>TIME-0022</x:v>
      </x:c>
      <x:c r="B23" s="28" t="str"/>
      <x:c r="C23" s="28" t="str"/>
      <x:c r="D23" s="28"/>
      <x:c r="E23" s="28" t="str">
        <x:v>OTHER</x:v>
      </x:c>
      <x:c r="F23" s="28" t="str"/>
      <x:c r="G23" s="28"/>
      <x:c r="H23" s="28"/>
      <x:c r="I23" s="28"/>
      <x:c r="J23" s="28"/>
      <x:c r="K23" s="28" t="str">
        <x:v>No</x:v>
      </x:c>
      <x:c r="L23" s="28" t="str"/>
      <x:c r="M23" s="28"/>
      <x:c r="N23" s="28"/>
      <x:c r="O23" s="28"/>
      <x:c r="P23" s="28"/>
      <x:c r="Q23" s="28"/>
      <x:c r="R23" s="28"/>
      <x:c r="S23" s="28"/>
      <x:c r="T23" s="28"/>
      <x:c r="U23" s="28"/>
    </x:row>
    <x:row r="24">
      <x:c r="A24" s="28" t="str">
        <x:v>TIME-0023</x:v>
      </x:c>
      <x:c r="B24" s="28" t="str"/>
      <x:c r="C24" s="28" t="str"/>
      <x:c r="D24" s="28"/>
      <x:c r="E24" s="28" t="str">
        <x:v>OTHER</x:v>
      </x:c>
      <x:c r="F24" s="28" t="str"/>
      <x:c r="G24" s="28"/>
      <x:c r="H24" s="28"/>
      <x:c r="I24" s="28"/>
      <x:c r="J24" s="28"/>
      <x:c r="K24" s="28" t="str">
        <x:v>No</x:v>
      </x:c>
      <x:c r="L24" s="28" t="str"/>
      <x:c r="M24" s="28"/>
      <x:c r="N24" s="28"/>
      <x:c r="O24" s="28"/>
      <x:c r="P24" s="28"/>
      <x:c r="Q24" s="28"/>
      <x:c r="R24" s="28"/>
      <x:c r="S24" s="28"/>
      <x:c r="T24" s="28"/>
      <x:c r="U24" s="28"/>
    </x:row>
    <x:row r="25">
      <x:c r="A25" s="28" t="str">
        <x:v>TIME-0024</x:v>
      </x:c>
      <x:c r="B25" s="28" t="str"/>
      <x:c r="C25" s="28" t="str"/>
      <x:c r="D25" s="28"/>
      <x:c r="E25" s="28" t="str">
        <x:v>OTHER</x:v>
      </x:c>
      <x:c r="F25" s="28" t="str"/>
      <x:c r="G25" s="28"/>
      <x:c r="H25" s="28"/>
      <x:c r="I25" s="28"/>
      <x:c r="J25" s="28"/>
      <x:c r="K25" s="28" t="str">
        <x:v>No</x:v>
      </x:c>
      <x:c r="L25" s="28" t="str"/>
      <x:c r="M25" s="28"/>
      <x:c r="N25" s="28"/>
      <x:c r="O25" s="28"/>
      <x:c r="P25" s="28"/>
      <x:c r="Q25" s="28"/>
      <x:c r="R25" s="28"/>
      <x:c r="S25" s="28"/>
      <x:c r="T25" s="28"/>
      <x:c r="U25" s="28"/>
    </x:row>
    <x:row r="26">
      <x:c r="A26" s="28" t="str">
        <x:v>TIME-0025</x:v>
      </x:c>
      <x:c r="B26" s="28" t="str"/>
      <x:c r="C26" s="28" t="str"/>
      <x:c r="D26" s="28"/>
      <x:c r="E26" s="28" t="str">
        <x:v>OTHER</x:v>
      </x:c>
      <x:c r="F26" s="28" t="str"/>
      <x:c r="G26" s="28"/>
      <x:c r="H26" s="28"/>
      <x:c r="I26" s="28"/>
      <x:c r="J26" s="28"/>
      <x:c r="K26" s="28" t="str">
        <x:v>No</x:v>
      </x:c>
      <x:c r="L26" s="28" t="str"/>
      <x:c r="M26" s="28"/>
      <x:c r="N26" s="28"/>
      <x:c r="O26" s="28"/>
      <x:c r="P26" s="28"/>
      <x:c r="Q26" s="28"/>
      <x:c r="R26" s="28"/>
      <x:c r="S26" s="28"/>
      <x:c r="T26" s="28"/>
      <x:c r="U26" s="28"/>
    </x:row>
    <x:row r="27">
      <x:c r="A27" s="28" t="str">
        <x:v>TIME-0026</x:v>
      </x:c>
      <x:c r="B27" s="28" t="str"/>
      <x:c r="C27" s="28" t="str"/>
      <x:c r="D27" s="28"/>
      <x:c r="E27" s="28" t="str">
        <x:v>OTHER</x:v>
      </x:c>
      <x:c r="F27" s="28" t="str"/>
      <x:c r="G27" s="28"/>
      <x:c r="H27" s="28"/>
      <x:c r="I27" s="28"/>
      <x:c r="J27" s="28"/>
      <x:c r="K27" s="28" t="str">
        <x:v>No</x:v>
      </x:c>
      <x:c r="L27" s="28" t="str"/>
      <x:c r="M27" s="28"/>
      <x:c r="N27" s="28"/>
      <x:c r="O27" s="28"/>
      <x:c r="P27" s="28"/>
      <x:c r="Q27" s="28"/>
      <x:c r="R27" s="28"/>
      <x:c r="S27" s="28"/>
      <x:c r="T27" s="28"/>
      <x:c r="U27" s="28"/>
    </x:row>
    <x:row r="28">
      <x:c r="A28" s="28" t="str">
        <x:v>TIME-0027</x:v>
      </x:c>
      <x:c r="B28" s="28" t="str"/>
      <x:c r="C28" s="28" t="str"/>
      <x:c r="D28" s="28"/>
      <x:c r="E28" s="28" t="str">
        <x:v>OTHER</x:v>
      </x:c>
      <x:c r="F28" s="28" t="str"/>
      <x:c r="G28" s="28"/>
      <x:c r="H28" s="28"/>
      <x:c r="I28" s="28"/>
      <x:c r="J28" s="28"/>
      <x:c r="K28" s="28" t="str">
        <x:v>No</x:v>
      </x:c>
      <x:c r="L28" s="28" t="str"/>
      <x:c r="M28" s="28"/>
      <x:c r="N28" s="28"/>
      <x:c r="O28" s="28"/>
      <x:c r="P28" s="28"/>
      <x:c r="Q28" s="28"/>
      <x:c r="R28" s="28"/>
      <x:c r="S28" s="28"/>
      <x:c r="T28" s="28"/>
      <x:c r="U28" s="28"/>
    </x:row>
    <x:row r="29">
      <x:c r="A29" s="28" t="str">
        <x:v>TIME-0028</x:v>
      </x:c>
      <x:c r="B29" s="28" t="str"/>
      <x:c r="C29" s="28" t="str"/>
      <x:c r="D29" s="28"/>
      <x:c r="E29" s="28" t="str">
        <x:v>OTHER</x:v>
      </x:c>
      <x:c r="F29" s="28" t="str"/>
      <x:c r="G29" s="28"/>
      <x:c r="H29" s="28"/>
      <x:c r="I29" s="28"/>
      <x:c r="J29" s="28"/>
      <x:c r="K29" s="28" t="str">
        <x:v>No</x:v>
      </x:c>
      <x:c r="L29" s="28" t="str"/>
      <x:c r="M29" s="28"/>
      <x:c r="N29" s="28"/>
      <x:c r="O29" s="28"/>
      <x:c r="P29" s="28"/>
      <x:c r="Q29" s="28"/>
      <x:c r="R29" s="28"/>
      <x:c r="S29" s="28"/>
      <x:c r="T29" s="28"/>
      <x:c r="U29" s="28"/>
    </x:row>
    <x:row r="30">
      <x:c r="A30" s="28" t="str">
        <x:v>TIME-0029</x:v>
      </x:c>
      <x:c r="B30" s="28" t="str"/>
      <x:c r="C30" s="28" t="str"/>
      <x:c r="D30" s="28"/>
      <x:c r="E30" s="28" t="str">
        <x:v>OTHER</x:v>
      </x:c>
      <x:c r="F30" s="28" t="str"/>
      <x:c r="G30" s="28"/>
      <x:c r="H30" s="28"/>
      <x:c r="I30" s="28"/>
      <x:c r="J30" s="28"/>
      <x:c r="K30" s="28" t="str">
        <x:v>No</x:v>
      </x:c>
      <x:c r="L30" s="28" t="str"/>
      <x:c r="M30" s="28"/>
      <x:c r="N30" s="28"/>
      <x:c r="O30" s="28"/>
      <x:c r="P30" s="28"/>
      <x:c r="Q30" s="28"/>
      <x:c r="R30" s="28"/>
      <x:c r="S30" s="28"/>
      <x:c r="T30" s="28"/>
      <x:c r="U30" s="28"/>
    </x:row>
    <x:row r="31">
      <x:c r="A31" s="28" t="str">
        <x:v>TIME-0030</x:v>
      </x:c>
      <x:c r="B31" s="28" t="str"/>
      <x:c r="C31" s="28" t="str"/>
      <x:c r="D31" s="28"/>
      <x:c r="E31" s="28" t="str">
        <x:v>OTHER</x:v>
      </x:c>
      <x:c r="F31" s="28" t="str"/>
      <x:c r="G31" s="28"/>
      <x:c r="H31" s="28"/>
      <x:c r="I31" s="28"/>
      <x:c r="J31" s="28"/>
      <x:c r="K31" s="28" t="str">
        <x:v>No</x:v>
      </x:c>
      <x:c r="L31" s="28" t="str"/>
      <x:c r="M31" s="28"/>
      <x:c r="N31" s="28"/>
      <x:c r="O31" s="28"/>
      <x:c r="P31" s="28"/>
      <x:c r="Q31" s="28"/>
      <x:c r="R31" s="28"/>
      <x:c r="S31" s="28"/>
      <x:c r="T31" s="28"/>
      <x:c r="U31" s="28"/>
    </x:row>
    <x:row r="32">
      <x:c r="A32" s="28" t="str">
        <x:v>TIME-0031</x:v>
      </x:c>
      <x:c r="B32" s="28" t="str"/>
      <x:c r="C32" s="28" t="str"/>
      <x:c r="D32" s="28"/>
      <x:c r="E32" s="28" t="str">
        <x:v>OTHER</x:v>
      </x:c>
      <x:c r="F32" s="28" t="str"/>
      <x:c r="G32" s="28"/>
      <x:c r="H32" s="28"/>
      <x:c r="I32" s="28"/>
      <x:c r="J32" s="28"/>
      <x:c r="K32" s="28" t="str">
        <x:v>No</x:v>
      </x:c>
      <x:c r="L32" s="28" t="str"/>
      <x:c r="M32" s="28"/>
      <x:c r="N32" s="28"/>
      <x:c r="O32" s="28"/>
      <x:c r="P32" s="28"/>
      <x:c r="Q32" s="28"/>
      <x:c r="R32" s="28"/>
      <x:c r="S32" s="28"/>
      <x:c r="T32" s="28"/>
      <x:c r="U32" s="28"/>
    </x:row>
    <x:row r="33">
      <x:c r="A33" s="28" t="str">
        <x:v>TIME-0032</x:v>
      </x:c>
      <x:c r="B33" s="28" t="str"/>
      <x:c r="C33" s="28" t="str"/>
      <x:c r="D33" s="28"/>
      <x:c r="E33" s="28" t="str">
        <x:v>OTHER</x:v>
      </x:c>
      <x:c r="F33" s="28" t="str"/>
      <x:c r="G33" s="28"/>
      <x:c r="H33" s="28"/>
      <x:c r="I33" s="28"/>
      <x:c r="J33" s="28"/>
      <x:c r="K33" s="28" t="str">
        <x:v>No</x:v>
      </x:c>
      <x:c r="L33" s="28" t="str"/>
      <x:c r="M33" s="28"/>
      <x:c r="N33" s="28"/>
      <x:c r="O33" s="28"/>
      <x:c r="P33" s="28"/>
      <x:c r="Q33" s="28"/>
      <x:c r="R33" s="28"/>
      <x:c r="S33" s="28"/>
      <x:c r="T33" s="28"/>
      <x:c r="U33" s="28"/>
    </x:row>
    <x:row r="34">
      <x:c r="A34" s="28" t="str">
        <x:v>TIME-0033</x:v>
      </x:c>
      <x:c r="B34" s="28" t="str"/>
      <x:c r="C34" s="28" t="str"/>
      <x:c r="D34" s="28"/>
      <x:c r="E34" s="28" t="str">
        <x:v>OTHER</x:v>
      </x:c>
      <x:c r="F34" s="28" t="str"/>
      <x:c r="G34" s="28"/>
      <x:c r="H34" s="28"/>
      <x:c r="I34" s="28"/>
      <x:c r="J34" s="28"/>
      <x:c r="K34" s="28" t="str">
        <x:v>No</x:v>
      </x:c>
      <x:c r="L34" s="28" t="str"/>
      <x:c r="M34" s="28"/>
      <x:c r="N34" s="28"/>
      <x:c r="O34" s="28"/>
      <x:c r="P34" s="28"/>
      <x:c r="Q34" s="28"/>
      <x:c r="R34" s="28"/>
      <x:c r="S34" s="28"/>
      <x:c r="T34" s="28"/>
      <x:c r="U34" s="28"/>
    </x:row>
    <x:row r="35">
      <x:c r="A35" s="28" t="str">
        <x:v>TIME-0034</x:v>
      </x:c>
      <x:c r="B35" s="28" t="str"/>
      <x:c r="C35" s="28" t="str"/>
      <x:c r="D35" s="28"/>
      <x:c r="E35" s="28" t="str">
        <x:v>OTHER</x:v>
      </x:c>
      <x:c r="F35" s="28" t="str"/>
      <x:c r="G35" s="28"/>
      <x:c r="H35" s="28"/>
      <x:c r="I35" s="28"/>
      <x:c r="J35" s="28"/>
      <x:c r="K35" s="28" t="str">
        <x:v>No</x:v>
      </x:c>
      <x:c r="L35" s="28" t="str"/>
      <x:c r="M35" s="28"/>
      <x:c r="N35" s="28"/>
      <x:c r="O35" s="28"/>
      <x:c r="P35" s="28"/>
      <x:c r="Q35" s="28"/>
      <x:c r="R35" s="28"/>
      <x:c r="S35" s="28"/>
      <x:c r="T35" s="28"/>
      <x:c r="U35" s="28"/>
    </x:row>
    <x:row r="36">
      <x:c r="A36" s="28" t="str">
        <x:v>TIME-0035</x:v>
      </x:c>
      <x:c r="B36" s="28" t="str"/>
      <x:c r="C36" s="28" t="str"/>
      <x:c r="D36" s="28"/>
      <x:c r="E36" s="28" t="str">
        <x:v>OTHER</x:v>
      </x:c>
      <x:c r="F36" s="28" t="str"/>
      <x:c r="G36" s="28"/>
      <x:c r="H36" s="28"/>
      <x:c r="I36" s="28"/>
      <x:c r="J36" s="28"/>
      <x:c r="K36" s="28" t="str">
        <x:v>No</x:v>
      </x:c>
      <x:c r="L36" s="28" t="str"/>
      <x:c r="M36" s="28"/>
      <x:c r="N36" s="28"/>
      <x:c r="O36" s="28"/>
      <x:c r="P36" s="28"/>
      <x:c r="Q36" s="28"/>
      <x:c r="R36" s="28"/>
      <x:c r="S36" s="28"/>
      <x:c r="T36" s="28"/>
      <x:c r="U36" s="28"/>
    </x:row>
    <x:row r="37">
      <x:c r="A37" s="28" t="str">
        <x:v>TIME-0036</x:v>
      </x:c>
      <x:c r="B37" s="28" t="str"/>
      <x:c r="C37" s="28" t="str"/>
      <x:c r="D37" s="28"/>
      <x:c r="E37" s="28" t="str">
        <x:v>OTHER</x:v>
      </x:c>
      <x:c r="F37" s="28" t="str"/>
      <x:c r="G37" s="28"/>
      <x:c r="H37" s="28"/>
      <x:c r="I37" s="28"/>
      <x:c r="J37" s="28"/>
      <x:c r="K37" s="28" t="str">
        <x:v>No</x:v>
      </x:c>
      <x:c r="L37" s="28" t="str"/>
      <x:c r="M37" s="28"/>
      <x:c r="N37" s="28"/>
      <x:c r="O37" s="28"/>
      <x:c r="P37" s="28"/>
      <x:c r="Q37" s="28"/>
      <x:c r="R37" s="28"/>
      <x:c r="S37" s="28"/>
      <x:c r="T37" s="28"/>
      <x:c r="U37" s="28"/>
    </x:row>
    <x:row r="38">
      <x:c r="A38" s="28" t="str">
        <x:v>TIME-0037</x:v>
      </x:c>
      <x:c r="B38" s="28" t="str"/>
      <x:c r="C38" s="28" t="str"/>
      <x:c r="D38" s="28"/>
      <x:c r="E38" s="28" t="str">
        <x:v>OTHER</x:v>
      </x:c>
      <x:c r="F38" s="28" t="str"/>
      <x:c r="G38" s="28"/>
      <x:c r="H38" s="28"/>
      <x:c r="I38" s="28"/>
      <x:c r="J38" s="28"/>
      <x:c r="K38" s="28" t="str">
        <x:v>No</x:v>
      </x:c>
      <x:c r="L38" s="28" t="str"/>
      <x:c r="M38" s="28"/>
      <x:c r="N38" s="28"/>
      <x:c r="O38" s="28"/>
      <x:c r="P38" s="28"/>
      <x:c r="Q38" s="28"/>
      <x:c r="R38" s="28"/>
      <x:c r="S38" s="28"/>
      <x:c r="T38" s="28"/>
      <x:c r="U38" s="28"/>
    </x:row>
    <x:row r="39">
      <x:c r="A39" s="28" t="str">
        <x:v>TIME-0038</x:v>
      </x:c>
      <x:c r="B39" s="28" t="str"/>
      <x:c r="C39" s="28" t="str"/>
      <x:c r="D39" s="28"/>
      <x:c r="E39" s="28" t="str">
        <x:v>OTHER</x:v>
      </x:c>
      <x:c r="F39" s="28" t="str"/>
      <x:c r="G39" s="28"/>
      <x:c r="H39" s="28"/>
      <x:c r="I39" s="28"/>
      <x:c r="J39" s="28"/>
      <x:c r="K39" s="28" t="str">
        <x:v>No</x:v>
      </x:c>
      <x:c r="L39" s="28" t="str"/>
      <x:c r="M39" s="28"/>
      <x:c r="N39" s="28"/>
      <x:c r="O39" s="28"/>
      <x:c r="P39" s="28"/>
      <x:c r="Q39" s="28"/>
      <x:c r="R39" s="28"/>
      <x:c r="S39" s="28"/>
      <x:c r="T39" s="28"/>
      <x:c r="U39" s="28"/>
    </x:row>
    <x:row r="40">
      <x:c r="A40" s="28" t="str">
        <x:v>TIME-0039</x:v>
      </x:c>
      <x:c r="B40" s="28" t="str"/>
      <x:c r="C40" s="28" t="str"/>
      <x:c r="D40" s="28"/>
      <x:c r="E40" s="28" t="str">
        <x:v>OTHER</x:v>
      </x:c>
      <x:c r="F40" s="28" t="str"/>
      <x:c r="G40" s="28"/>
      <x:c r="H40" s="28"/>
      <x:c r="I40" s="28"/>
      <x:c r="J40" s="28"/>
      <x:c r="K40" s="28" t="str">
        <x:v>No</x:v>
      </x:c>
      <x:c r="L40" s="28" t="str"/>
      <x:c r="M40" s="28"/>
      <x:c r="N40" s="28"/>
      <x:c r="O40" s="28"/>
      <x:c r="P40" s="28"/>
      <x:c r="Q40" s="28"/>
      <x:c r="R40" s="28"/>
      <x:c r="S40" s="28"/>
      <x:c r="T40" s="28"/>
      <x:c r="U40" s="28"/>
    </x:row>
    <x:row r="41">
      <x:c r="A41" s="28" t="str">
        <x:v>TIME-0040</x:v>
      </x:c>
      <x:c r="B41" s="28" t="str"/>
      <x:c r="C41" s="28" t="str"/>
      <x:c r="D41" s="28"/>
      <x:c r="E41" s="28" t="str">
        <x:v>OTHER</x:v>
      </x:c>
      <x:c r="F41" s="28" t="str"/>
      <x:c r="G41" s="28"/>
      <x:c r="H41" s="28"/>
      <x:c r="I41" s="28"/>
      <x:c r="J41" s="28"/>
      <x:c r="K41" s="28" t="str">
        <x:v>No</x:v>
      </x:c>
      <x:c r="L41" s="28" t="str"/>
      <x:c r="M41" s="28"/>
      <x:c r="N41" s="28"/>
      <x:c r="O41" s="28"/>
      <x:c r="P41" s="28"/>
      <x:c r="Q41" s="28"/>
      <x:c r="R41" s="28"/>
      <x:c r="S41" s="28"/>
      <x:c r="T41" s="28"/>
      <x:c r="U41" s="28"/>
    </x:row>
    <x:row r="42">
      <x:c r="A42" s="28" t="str">
        <x:v>TIME-0041</x:v>
      </x:c>
      <x:c r="B42" s="28" t="str"/>
      <x:c r="C42" s="28" t="str"/>
      <x:c r="D42" s="28"/>
      <x:c r="E42" s="28" t="str">
        <x:v>OTHER</x:v>
      </x:c>
      <x:c r="F42" s="28" t="str"/>
      <x:c r="G42" s="28"/>
      <x:c r="H42" s="28"/>
      <x:c r="I42" s="28"/>
      <x:c r="J42" s="28"/>
      <x:c r="K42" s="28" t="str">
        <x:v>No</x:v>
      </x:c>
      <x:c r="L42" s="28" t="str"/>
      <x:c r="M42" s="28"/>
      <x:c r="N42" s="28"/>
      <x:c r="O42" s="28"/>
      <x:c r="P42" s="28"/>
      <x:c r="Q42" s="28"/>
      <x:c r="R42" s="28"/>
      <x:c r="S42" s="28"/>
      <x:c r="T42" s="28"/>
      <x:c r="U42" s="28"/>
    </x:row>
    <x:row r="43">
      <x:c r="A43" s="28" t="str">
        <x:v>TIME-0042</x:v>
      </x:c>
      <x:c r="B43" s="28" t="str"/>
      <x:c r="C43" s="28" t="str"/>
      <x:c r="D43" s="28"/>
      <x:c r="E43" s="28" t="str">
        <x:v>OTHER</x:v>
      </x:c>
      <x:c r="F43" s="28" t="str"/>
      <x:c r="G43" s="28"/>
      <x:c r="H43" s="28"/>
      <x:c r="I43" s="28"/>
      <x:c r="J43" s="28"/>
      <x:c r="K43" s="28" t="str">
        <x:v>No</x:v>
      </x:c>
      <x:c r="L43" s="28" t="str"/>
      <x:c r="M43" s="28"/>
      <x:c r="N43" s="28"/>
      <x:c r="O43" s="28"/>
      <x:c r="P43" s="28"/>
      <x:c r="Q43" s="28"/>
      <x:c r="R43" s="28"/>
      <x:c r="S43" s="28"/>
      <x:c r="T43" s="28"/>
      <x:c r="U43" s="28"/>
    </x:row>
    <x:row r="44">
      <x:c r="A44" s="28" t="str">
        <x:v>TIME-0043</x:v>
      </x:c>
      <x:c r="B44" s="28" t="str"/>
      <x:c r="C44" s="28" t="str"/>
      <x:c r="D44" s="28"/>
      <x:c r="E44" s="28" t="str">
        <x:v>OTHER</x:v>
      </x:c>
      <x:c r="F44" s="28" t="str"/>
      <x:c r="G44" s="28"/>
      <x:c r="H44" s="28"/>
      <x:c r="I44" s="28"/>
      <x:c r="J44" s="28"/>
      <x:c r="K44" s="28" t="str">
        <x:v>No</x:v>
      </x:c>
      <x:c r="L44" s="28" t="str"/>
      <x:c r="M44" s="28"/>
      <x:c r="N44" s="28"/>
      <x:c r="O44" s="28"/>
      <x:c r="P44" s="28"/>
      <x:c r="Q44" s="28"/>
      <x:c r="R44" s="28"/>
      <x:c r="S44" s="28"/>
      <x:c r="T44" s="28"/>
      <x:c r="U44" s="28"/>
    </x:row>
    <x:row r="45">
      <x:c r="A45" s="28" t="str">
        <x:v>TIME-0044</x:v>
      </x:c>
      <x:c r="B45" s="28" t="str"/>
      <x:c r="C45" s="28" t="str"/>
      <x:c r="D45" s="28"/>
      <x:c r="E45" s="28" t="str">
        <x:v>OTHER</x:v>
      </x:c>
      <x:c r="F45" s="28" t="str"/>
      <x:c r="G45" s="28"/>
      <x:c r="H45" s="28"/>
      <x:c r="I45" s="28"/>
      <x:c r="J45" s="28"/>
      <x:c r="K45" s="28" t="str">
        <x:v>No</x:v>
      </x:c>
      <x:c r="L45" s="28" t="str"/>
      <x:c r="M45" s="28"/>
      <x:c r="N45" s="28"/>
      <x:c r="O45" s="28"/>
      <x:c r="P45" s="28"/>
      <x:c r="Q45" s="28"/>
      <x:c r="R45" s="28"/>
      <x:c r="S45" s="28"/>
      <x:c r="T45" s="28"/>
      <x:c r="U45" s="28"/>
    </x:row>
    <x:row r="46">
      <x:c r="A46" s="28" t="str">
        <x:v>TIME-0045</x:v>
      </x:c>
      <x:c r="B46" s="28" t="str"/>
      <x:c r="C46" s="28" t="str"/>
      <x:c r="D46" s="28"/>
      <x:c r="E46" s="28" t="str">
        <x:v>OTHER</x:v>
      </x:c>
      <x:c r="F46" s="28" t="str"/>
      <x:c r="G46" s="28"/>
      <x:c r="H46" s="28"/>
      <x:c r="I46" s="28"/>
      <x:c r="J46" s="28"/>
      <x:c r="K46" s="28" t="str">
        <x:v>No</x:v>
      </x:c>
      <x:c r="L46" s="28" t="str"/>
      <x:c r="M46" s="28"/>
      <x:c r="N46" s="28"/>
      <x:c r="O46" s="28"/>
      <x:c r="P46" s="28"/>
      <x:c r="Q46" s="28"/>
      <x:c r="R46" s="28"/>
      <x:c r="S46" s="28"/>
      <x:c r="T46" s="28"/>
      <x:c r="U46" s="28"/>
    </x:row>
    <x:row r="47">
      <x:c r="A47" s="28" t="str">
        <x:v>TIME-0046</x:v>
      </x:c>
      <x:c r="B47" s="28" t="str"/>
      <x:c r="C47" s="28" t="str"/>
      <x:c r="D47" s="28"/>
      <x:c r="E47" s="28" t="str">
        <x:v>OTHER</x:v>
      </x:c>
      <x:c r="F47" s="28" t="str"/>
      <x:c r="G47" s="28"/>
      <x:c r="H47" s="28"/>
      <x:c r="I47" s="28"/>
      <x:c r="J47" s="28"/>
      <x:c r="K47" s="28" t="str">
        <x:v>No</x:v>
      </x:c>
      <x:c r="L47" s="28" t="str"/>
      <x:c r="M47" s="28"/>
      <x:c r="N47" s="28"/>
      <x:c r="O47" s="28"/>
      <x:c r="P47" s="28"/>
      <x:c r="Q47" s="28"/>
      <x:c r="R47" s="28"/>
      <x:c r="S47" s="28"/>
      <x:c r="T47" s="28"/>
      <x:c r="U47" s="28"/>
    </x:row>
    <x:row r="48">
      <x:c r="A48" s="28" t="str">
        <x:v>TIME-0047</x:v>
      </x:c>
      <x:c r="B48" s="28" t="str"/>
      <x:c r="C48" s="28" t="str"/>
      <x:c r="D48" s="28"/>
      <x:c r="E48" s="28" t="str">
        <x:v>OTHER</x:v>
      </x:c>
      <x:c r="F48" s="28" t="str"/>
      <x:c r="G48" s="28"/>
      <x:c r="H48" s="28"/>
      <x:c r="I48" s="28"/>
      <x:c r="J48" s="28"/>
      <x:c r="K48" s="28" t="str">
        <x:v>No</x:v>
      </x:c>
      <x:c r="L48" s="28" t="str"/>
      <x:c r="M48" s="28"/>
      <x:c r="N48" s="28"/>
      <x:c r="O48" s="28"/>
      <x:c r="P48" s="28"/>
      <x:c r="Q48" s="28"/>
      <x:c r="R48" s="28"/>
      <x:c r="S48" s="28"/>
      <x:c r="T48" s="28"/>
      <x:c r="U48" s="28"/>
    </x:row>
    <x:row r="49">
      <x:c r="A49" s="28" t="str">
        <x:v>TIME-0048</x:v>
      </x:c>
      <x:c r="B49" s="28" t="str"/>
      <x:c r="C49" s="28" t="str"/>
      <x:c r="D49" s="28"/>
      <x:c r="E49" s="28" t="str">
        <x:v>OTHER</x:v>
      </x:c>
      <x:c r="F49" s="28" t="str"/>
      <x:c r="G49" s="28"/>
      <x:c r="H49" s="28"/>
      <x:c r="I49" s="28"/>
      <x:c r="J49" s="28"/>
      <x:c r="K49" s="28" t="str">
        <x:v>No</x:v>
      </x:c>
      <x:c r="L49" s="28" t="str"/>
      <x:c r="M49" s="28"/>
      <x:c r="N49" s="28"/>
      <x:c r="O49" s="28"/>
      <x:c r="P49" s="28"/>
      <x:c r="Q49" s="28"/>
      <x:c r="R49" s="28"/>
      <x:c r="S49" s="28"/>
      <x:c r="T49" s="28"/>
      <x:c r="U49" s="28"/>
    </x:row>
    <x:row r="50">
      <x:c r="A50" s="28" t="str">
        <x:v>TIME-0049</x:v>
      </x:c>
      <x:c r="B50" s="28" t="str"/>
      <x:c r="C50" s="28" t="str"/>
      <x:c r="D50" s="28"/>
      <x:c r="E50" s="28" t="str">
        <x:v>OTHER</x:v>
      </x:c>
      <x:c r="F50" s="28" t="str"/>
      <x:c r="G50" s="28"/>
      <x:c r="H50" s="28"/>
      <x:c r="I50" s="28"/>
      <x:c r="J50" s="28"/>
      <x:c r="K50" s="28" t="str">
        <x:v>No</x:v>
      </x:c>
      <x:c r="L50" s="28" t="str"/>
      <x:c r="M50" s="28"/>
      <x:c r="N50" s="28"/>
      <x:c r="O50" s="28"/>
      <x:c r="P50" s="28"/>
      <x:c r="Q50" s="28"/>
      <x:c r="R50" s="28"/>
      <x:c r="S50" s="28"/>
      <x:c r="T50" s="28"/>
      <x:c r="U50" s="28"/>
    </x:row>
    <x:row r="51">
      <x:c r="A51" s="28" t="str">
        <x:v>TIME-0050</x:v>
      </x:c>
      <x:c r="B51" s="28" t="str"/>
      <x:c r="C51" s="28" t="str"/>
      <x:c r="D51" s="28"/>
      <x:c r="E51" s="28" t="str">
        <x:v>OTHER</x:v>
      </x:c>
      <x:c r="F51" s="28" t="str"/>
      <x:c r="G51" s="28"/>
      <x:c r="H51" s="28"/>
      <x:c r="I51" s="28"/>
      <x:c r="J51" s="28"/>
      <x:c r="K51" s="28" t="str">
        <x:v>No</x:v>
      </x:c>
      <x:c r="L51" s="28" t="str"/>
      <x:c r="M51" s="28"/>
      <x:c r="N51" s="28"/>
      <x:c r="O51" s="28"/>
      <x:c r="P51" s="28"/>
      <x:c r="Q51" s="28"/>
      <x:c r="R51" s="28"/>
      <x:c r="S51" s="28"/>
      <x:c r="T51" s="28"/>
      <x:c r="U51" s="28"/>
    </x:row>
    <x:row r="52">
      <x:c r="A52" s="28" t="str">
        <x:v>TIME-0051</x:v>
      </x:c>
      <x:c r="B52" s="28" t="str"/>
      <x:c r="C52" s="28" t="str"/>
      <x:c r="D52" s="28"/>
      <x:c r="E52" s="28" t="str">
        <x:v>OTHER</x:v>
      </x:c>
      <x:c r="F52" s="28" t="str"/>
      <x:c r="G52" s="28"/>
      <x:c r="H52" s="28"/>
      <x:c r="I52" s="28"/>
      <x:c r="J52" s="28"/>
      <x:c r="K52" s="28" t="str">
        <x:v>No</x:v>
      </x:c>
      <x:c r="L52" s="28" t="str"/>
      <x:c r="M52" s="28"/>
      <x:c r="N52" s="28"/>
      <x:c r="O52" s="28"/>
      <x:c r="P52" s="28"/>
      <x:c r="Q52" s="28"/>
      <x:c r="R52" s="28"/>
      <x:c r="S52" s="28"/>
      <x:c r="T52" s="28"/>
      <x:c r="U52" s="28"/>
    </x:row>
    <x:row r="53">
      <x:c r="A53" s="28" t="str">
        <x:v>TIME-0052</x:v>
      </x:c>
      <x:c r="B53" s="28" t="str"/>
      <x:c r="C53" s="28" t="str"/>
      <x:c r="D53" s="28"/>
      <x:c r="E53" s="28" t="str">
        <x:v>OTHER</x:v>
      </x:c>
      <x:c r="F53" s="28" t="str"/>
      <x:c r="G53" s="28"/>
      <x:c r="H53" s="28"/>
      <x:c r="I53" s="28"/>
      <x:c r="J53" s="28"/>
      <x:c r="K53" s="28" t="str">
        <x:v>No</x:v>
      </x:c>
      <x:c r="L53" s="28" t="str"/>
      <x:c r="M53" s="28"/>
      <x:c r="N53" s="28"/>
      <x:c r="O53" s="28"/>
      <x:c r="P53" s="28"/>
      <x:c r="Q53" s="28"/>
      <x:c r="R53" s="28"/>
      <x:c r="S53" s="28"/>
      <x:c r="T53" s="28"/>
      <x:c r="U53" s="28"/>
    </x:row>
    <x:row r="54">
      <x:c r="A54" s="28" t="str">
        <x:v>TIME-0053</x:v>
      </x:c>
      <x:c r="B54" s="28" t="str"/>
      <x:c r="C54" s="28" t="str"/>
      <x:c r="D54" s="28"/>
      <x:c r="E54" s="28" t="str">
        <x:v>OTHER</x:v>
      </x:c>
      <x:c r="F54" s="28" t="str"/>
      <x:c r="G54" s="28"/>
      <x:c r="H54" s="28"/>
      <x:c r="I54" s="28"/>
      <x:c r="J54" s="28"/>
      <x:c r="K54" s="28" t="str">
        <x:v>No</x:v>
      </x:c>
      <x:c r="L54" s="28" t="str"/>
      <x:c r="M54" s="28"/>
      <x:c r="N54" s="28"/>
      <x:c r="O54" s="28"/>
      <x:c r="P54" s="28"/>
      <x:c r="Q54" s="28"/>
      <x:c r="R54" s="28"/>
      <x:c r="S54" s="28"/>
      <x:c r="T54" s="28"/>
      <x:c r="U54" s="28"/>
    </x:row>
    <x:row r="55">
      <x:c r="A55" s="28" t="str">
        <x:v>TIME-0054</x:v>
      </x:c>
      <x:c r="B55" s="28" t="str"/>
      <x:c r="C55" s="28" t="str"/>
      <x:c r="D55" s="28"/>
      <x:c r="E55" s="28" t="str">
        <x:v>OTHER</x:v>
      </x:c>
      <x:c r="F55" s="28" t="str"/>
      <x:c r="G55" s="28"/>
      <x:c r="H55" s="28"/>
      <x:c r="I55" s="28"/>
      <x:c r="J55" s="28"/>
      <x:c r="K55" s="28" t="str">
        <x:v>No</x:v>
      </x:c>
      <x:c r="L55" s="28" t="str"/>
      <x:c r="M55" s="28"/>
      <x:c r="N55" s="28"/>
      <x:c r="O55" s="28"/>
      <x:c r="P55" s="28"/>
      <x:c r="Q55" s="28"/>
      <x:c r="R55" s="28"/>
      <x:c r="S55" s="28"/>
      <x:c r="T55" s="28"/>
      <x:c r="U55" s="28"/>
    </x:row>
    <x:row r="56">
      <x:c r="A56" s="28" t="str">
        <x:v>TIME-0055</x:v>
      </x:c>
      <x:c r="B56" s="28" t="str"/>
      <x:c r="C56" s="28" t="str"/>
      <x:c r="D56" s="28"/>
      <x:c r="E56" s="28" t="str">
        <x:v>OTHER</x:v>
      </x:c>
      <x:c r="F56" s="28" t="str"/>
      <x:c r="G56" s="28"/>
      <x:c r="H56" s="28"/>
      <x:c r="I56" s="28"/>
      <x:c r="J56" s="28"/>
      <x:c r="K56" s="28" t="str">
        <x:v>No</x:v>
      </x:c>
      <x:c r="L56" s="28" t="str"/>
      <x:c r="M56" s="28"/>
      <x:c r="N56" s="28"/>
      <x:c r="O56" s="28"/>
      <x:c r="P56" s="28"/>
      <x:c r="Q56" s="28"/>
      <x:c r="R56" s="28"/>
      <x:c r="S56" s="28"/>
      <x:c r="T56" s="28"/>
      <x:c r="U56" s="28"/>
    </x:row>
    <x:row r="57">
      <x:c r="A57" s="28" t="str">
        <x:v>TIME-0056</x:v>
      </x:c>
      <x:c r="B57" s="28" t="str"/>
      <x:c r="C57" s="28" t="str"/>
      <x:c r="D57" s="28"/>
      <x:c r="E57" s="28" t="str">
        <x:v>OTHER</x:v>
      </x:c>
      <x:c r="F57" s="28" t="str"/>
      <x:c r="G57" s="28"/>
      <x:c r="H57" s="28"/>
      <x:c r="I57" s="28"/>
      <x:c r="J57" s="28"/>
      <x:c r="K57" s="28" t="str">
        <x:v>No</x:v>
      </x:c>
      <x:c r="L57" s="28" t="str"/>
      <x:c r="M57" s="28"/>
      <x:c r="N57" s="28"/>
      <x:c r="O57" s="28"/>
      <x:c r="P57" s="28"/>
      <x:c r="Q57" s="28"/>
      <x:c r="R57" s="28"/>
      <x:c r="S57" s="28"/>
      <x:c r="T57" s="28"/>
      <x:c r="U57" s="28"/>
    </x:row>
    <x:row r="58">
      <x:c r="A58" s="28" t="str">
        <x:v>TIME-0057</x:v>
      </x:c>
      <x:c r="B58" s="28" t="str"/>
      <x:c r="C58" s="28" t="str"/>
      <x:c r="D58" s="28"/>
      <x:c r="E58" s="28" t="str">
        <x:v>OTHER</x:v>
      </x:c>
      <x:c r="F58" s="28" t="str"/>
      <x:c r="G58" s="28"/>
      <x:c r="H58" s="28"/>
      <x:c r="I58" s="28"/>
      <x:c r="J58" s="28"/>
      <x:c r="K58" s="28" t="str">
        <x:v>No</x:v>
      </x:c>
      <x:c r="L58" s="28" t="str"/>
      <x:c r="M58" s="28"/>
      <x:c r="N58" s="28"/>
      <x:c r="O58" s="28"/>
      <x:c r="P58" s="28"/>
      <x:c r="Q58" s="28"/>
      <x:c r="R58" s="28"/>
      <x:c r="S58" s="28"/>
      <x:c r="T58" s="28"/>
      <x:c r="U58" s="28"/>
    </x:row>
    <x:row r="59">
      <x:c r="A59" s="28" t="str">
        <x:v>TIME-0058</x:v>
      </x:c>
      <x:c r="B59" s="28" t="str"/>
      <x:c r="C59" s="28" t="str"/>
      <x:c r="D59" s="28"/>
      <x:c r="E59" s="28" t="str">
        <x:v>OTHER</x:v>
      </x:c>
      <x:c r="F59" s="28" t="str"/>
      <x:c r="G59" s="28"/>
      <x:c r="H59" s="28"/>
      <x:c r="I59" s="28"/>
      <x:c r="J59" s="28"/>
      <x:c r="K59" s="28" t="str">
        <x:v>No</x:v>
      </x:c>
      <x:c r="L59" s="28" t="str"/>
      <x:c r="M59" s="28"/>
      <x:c r="N59" s="28"/>
      <x:c r="O59" s="28"/>
      <x:c r="P59" s="28"/>
      <x:c r="Q59" s="28"/>
      <x:c r="R59" s="28"/>
      <x:c r="S59" s="28"/>
      <x:c r="T59" s="28"/>
      <x:c r="U59" s="28"/>
    </x:row>
    <x:row r="60">
      <x:c r="A60" s="28" t="str">
        <x:v>TIME-0059</x:v>
      </x:c>
      <x:c r="B60" s="28" t="str"/>
      <x:c r="C60" s="28" t="str"/>
      <x:c r="D60" s="28"/>
      <x:c r="E60" s="28" t="str">
        <x:v>OTHER</x:v>
      </x:c>
      <x:c r="F60" s="28" t="str"/>
      <x:c r="G60" s="28"/>
      <x:c r="H60" s="28"/>
      <x:c r="I60" s="28"/>
      <x:c r="J60" s="28"/>
      <x:c r="K60" s="28" t="str">
        <x:v>No</x:v>
      </x:c>
      <x:c r="L60" s="28" t="str"/>
      <x:c r="M60" s="28"/>
      <x:c r="N60" s="28"/>
      <x:c r="O60" s="28"/>
      <x:c r="P60" s="28"/>
      <x:c r="Q60" s="28"/>
      <x:c r="R60" s="28"/>
      <x:c r="S60" s="28"/>
      <x:c r="T60" s="28"/>
      <x:c r="U60" s="28"/>
    </x:row>
    <x:row r="61">
      <x:c r="A61" s="28" t="str">
        <x:v>TIME-0060</x:v>
      </x:c>
      <x:c r="B61" s="28" t="str"/>
      <x:c r="C61" s="28" t="str"/>
      <x:c r="D61" s="28"/>
      <x:c r="E61" s="28" t="str">
        <x:v>OTHER</x:v>
      </x:c>
      <x:c r="F61" s="28" t="str"/>
      <x:c r="G61" s="28"/>
      <x:c r="H61" s="28"/>
      <x:c r="I61" s="28"/>
      <x:c r="J61" s="28"/>
      <x:c r="K61" s="28" t="str">
        <x:v>No</x:v>
      </x:c>
      <x:c r="L61" s="28" t="str"/>
      <x:c r="M61" s="28"/>
      <x:c r="N61" s="28"/>
      <x:c r="O61" s="28"/>
      <x:c r="P61" s="28"/>
      <x:c r="Q61" s="28"/>
      <x:c r="R61" s="28"/>
      <x:c r="S61" s="28"/>
      <x:c r="T61" s="28"/>
      <x:c r="U61" s="28"/>
    </x:row>
    <x:row r="62">
      <x:c r="A62" s="28" t="str">
        <x:v>TIME-0061</x:v>
      </x:c>
      <x:c r="B62" s="28" t="str"/>
      <x:c r="C62" s="28" t="str"/>
      <x:c r="D62" s="28"/>
      <x:c r="E62" s="28" t="str">
        <x:v>OTHER</x:v>
      </x:c>
      <x:c r="F62" s="28" t="str"/>
      <x:c r="G62" s="28"/>
      <x:c r="H62" s="28"/>
      <x:c r="I62" s="28"/>
      <x:c r="J62" s="28"/>
      <x:c r="K62" s="28" t="str">
        <x:v>No</x:v>
      </x:c>
      <x:c r="L62" s="28" t="str"/>
      <x:c r="M62" s="28"/>
      <x:c r="N62" s="28"/>
      <x:c r="O62" s="28"/>
      <x:c r="P62" s="28"/>
      <x:c r="Q62" s="28"/>
      <x:c r="R62" s="28"/>
      <x:c r="S62" s="28"/>
      <x:c r="T62" s="28"/>
      <x:c r="U62" s="28"/>
    </x:row>
    <x:row r="63">
      <x:c r="A63" s="28" t="str">
        <x:v>TIME-0062</x:v>
      </x:c>
      <x:c r="B63" s="28" t="str"/>
      <x:c r="C63" s="28" t="str"/>
      <x:c r="D63" s="28"/>
      <x:c r="E63" s="28" t="str">
        <x:v>OTHER</x:v>
      </x:c>
      <x:c r="F63" s="28" t="str"/>
      <x:c r="G63" s="28"/>
      <x:c r="H63" s="28"/>
      <x:c r="I63" s="28"/>
      <x:c r="J63" s="28"/>
      <x:c r="K63" s="28" t="str">
        <x:v>No</x:v>
      </x:c>
      <x:c r="L63" s="28" t="str"/>
      <x:c r="M63" s="28"/>
      <x:c r="N63" s="28"/>
      <x:c r="O63" s="28"/>
      <x:c r="P63" s="28"/>
      <x:c r="Q63" s="28"/>
      <x:c r="R63" s="28"/>
      <x:c r="S63" s="28"/>
      <x:c r="T63" s="28"/>
      <x:c r="U63" s="28"/>
    </x:row>
    <x:row r="64">
      <x:c r="A64" s="28" t="str">
        <x:v>TIME-0063</x:v>
      </x:c>
      <x:c r="B64" s="28" t="str"/>
      <x:c r="C64" s="28" t="str"/>
      <x:c r="D64" s="28"/>
      <x:c r="E64" s="28" t="str">
        <x:v>OTHER</x:v>
      </x:c>
      <x:c r="F64" s="28" t="str"/>
      <x:c r="G64" s="28"/>
      <x:c r="H64" s="28"/>
      <x:c r="I64" s="28"/>
      <x:c r="J64" s="28"/>
      <x:c r="K64" s="28" t="str">
        <x:v>No</x:v>
      </x:c>
      <x:c r="L64" s="28" t="str"/>
      <x:c r="M64" s="28"/>
      <x:c r="N64" s="28"/>
      <x:c r="O64" s="28"/>
      <x:c r="P64" s="28"/>
      <x:c r="Q64" s="28"/>
      <x:c r="R64" s="28"/>
      <x:c r="S64" s="28"/>
      <x:c r="T64" s="28"/>
      <x:c r="U64" s="28"/>
    </x:row>
    <x:row r="65">
      <x:c r="A65" s="28" t="str">
        <x:v>TIME-0064</x:v>
      </x:c>
      <x:c r="B65" s="28" t="str"/>
      <x:c r="C65" s="28" t="str"/>
      <x:c r="D65" s="28"/>
      <x:c r="E65" s="28" t="str">
        <x:v>OTHER</x:v>
      </x:c>
      <x:c r="F65" s="28" t="str"/>
      <x:c r="G65" s="28"/>
      <x:c r="H65" s="28"/>
      <x:c r="I65" s="28"/>
      <x:c r="J65" s="28"/>
      <x:c r="K65" s="28" t="str">
        <x:v>No</x:v>
      </x:c>
      <x:c r="L65" s="28" t="str"/>
      <x:c r="M65" s="28"/>
      <x:c r="N65" s="28"/>
      <x:c r="O65" s="28"/>
      <x:c r="P65" s="28"/>
      <x:c r="Q65" s="28"/>
      <x:c r="R65" s="28"/>
      <x:c r="S65" s="28"/>
      <x:c r="T65" s="28"/>
      <x:c r="U65" s="28"/>
    </x:row>
    <x:row r="66">
      <x:c r="A66" s="28" t="str">
        <x:v>TIME-0065</x:v>
      </x:c>
      <x:c r="B66" s="28" t="str"/>
      <x:c r="C66" s="28" t="str"/>
      <x:c r="D66" s="28"/>
      <x:c r="E66" s="28" t="str">
        <x:v>OTHER</x:v>
      </x:c>
      <x:c r="F66" s="28" t="str"/>
      <x:c r="G66" s="28"/>
      <x:c r="H66" s="28"/>
      <x:c r="I66" s="28"/>
      <x:c r="J66" s="28"/>
      <x:c r="K66" s="28" t="str">
        <x:v>No</x:v>
      </x:c>
      <x:c r="L66" s="28" t="str"/>
      <x:c r="M66" s="28"/>
      <x:c r="N66" s="28"/>
      <x:c r="O66" s="28"/>
      <x:c r="P66" s="28"/>
      <x:c r="Q66" s="28"/>
      <x:c r="R66" s="28"/>
      <x:c r="S66" s="28"/>
      <x:c r="T66" s="28"/>
      <x:c r="U66" s="28"/>
    </x:row>
    <x:row r="67">
      <x:c r="A67" s="28" t="str">
        <x:v>TIME-0066</x:v>
      </x:c>
      <x:c r="B67" s="28" t="str"/>
      <x:c r="C67" s="28" t="str"/>
      <x:c r="D67" s="28"/>
      <x:c r="E67" s="28" t="str">
        <x:v>OTHER</x:v>
      </x:c>
      <x:c r="F67" s="28" t="str"/>
      <x:c r="G67" s="28"/>
      <x:c r="H67" s="28"/>
      <x:c r="I67" s="28"/>
      <x:c r="J67" s="28"/>
      <x:c r="K67" s="28" t="str">
        <x:v>No</x:v>
      </x:c>
      <x:c r="L67" s="28" t="str"/>
      <x:c r="M67" s="28"/>
      <x:c r="N67" s="28"/>
      <x:c r="O67" s="28"/>
      <x:c r="P67" s="28"/>
      <x:c r="Q67" s="28"/>
      <x:c r="R67" s="28"/>
      <x:c r="S67" s="28"/>
      <x:c r="T67" s="28"/>
      <x:c r="U67" s="28"/>
    </x:row>
    <x:row r="68">
      <x:c r="A68" s="28" t="str">
        <x:v>TIME-0067</x:v>
      </x:c>
      <x:c r="B68" s="28" t="str"/>
      <x:c r="C68" s="28" t="str"/>
      <x:c r="D68" s="28"/>
      <x:c r="E68" s="28" t="str">
        <x:v>OTHER</x:v>
      </x:c>
      <x:c r="F68" s="28" t="str"/>
      <x:c r="G68" s="28"/>
      <x:c r="H68" s="28"/>
      <x:c r="I68" s="28"/>
      <x:c r="J68" s="28"/>
      <x:c r="K68" s="28" t="str">
        <x:v>No</x:v>
      </x:c>
      <x:c r="L68" s="28" t="str"/>
      <x:c r="M68" s="28"/>
      <x:c r="N68" s="28"/>
      <x:c r="O68" s="28"/>
      <x:c r="P68" s="28"/>
      <x:c r="Q68" s="28"/>
      <x:c r="R68" s="28"/>
      <x:c r="S68" s="28"/>
      <x:c r="T68" s="28"/>
      <x:c r="U68" s="28"/>
    </x:row>
    <x:row r="69">
      <x:c r="A69" s="28" t="str">
        <x:v>TIME-0068</x:v>
      </x:c>
      <x:c r="B69" s="28" t="str"/>
      <x:c r="C69" s="28" t="str"/>
      <x:c r="D69" s="28"/>
      <x:c r="E69" s="28" t="str">
        <x:v>OTHER</x:v>
      </x:c>
      <x:c r="F69" s="28" t="str"/>
      <x:c r="G69" s="28"/>
      <x:c r="H69" s="28"/>
      <x:c r="I69" s="28"/>
      <x:c r="J69" s="28"/>
      <x:c r="K69" s="28" t="str">
        <x:v>No</x:v>
      </x:c>
      <x:c r="L69" s="28" t="str"/>
      <x:c r="M69" s="28"/>
      <x:c r="N69" s="28"/>
      <x:c r="O69" s="28"/>
      <x:c r="P69" s="28"/>
      <x:c r="Q69" s="28"/>
      <x:c r="R69" s="28"/>
      <x:c r="S69" s="28"/>
      <x:c r="T69" s="28"/>
      <x:c r="U69" s="28"/>
    </x:row>
    <x:row r="70">
      <x:c r="A70" s="28" t="str">
        <x:v>TIME-0069</x:v>
      </x:c>
      <x:c r="B70" s="28" t="str"/>
      <x:c r="C70" s="28" t="str"/>
      <x:c r="D70" s="28"/>
      <x:c r="E70" s="28" t="str">
        <x:v>OTHER</x:v>
      </x:c>
      <x:c r="F70" s="28" t="str"/>
      <x:c r="G70" s="28"/>
      <x:c r="H70" s="28"/>
      <x:c r="I70" s="28"/>
      <x:c r="J70" s="28"/>
      <x:c r="K70" s="28" t="str">
        <x:v>No</x:v>
      </x:c>
      <x:c r="L70" s="28" t="str"/>
      <x:c r="M70" s="28"/>
      <x:c r="N70" s="28"/>
      <x:c r="O70" s="28"/>
      <x:c r="P70" s="28"/>
      <x:c r="Q70" s="28"/>
      <x:c r="R70" s="28"/>
      <x:c r="S70" s="28"/>
      <x:c r="T70" s="28"/>
      <x:c r="U70" s="28"/>
    </x:row>
    <x:row r="71">
      <x:c r="A71" s="28" t="str">
        <x:v>TIME-0070</x:v>
      </x:c>
      <x:c r="B71" s="28" t="str"/>
      <x:c r="C71" s="28" t="str"/>
      <x:c r="D71" s="28"/>
      <x:c r="E71" s="28" t="str">
        <x:v>OTHER</x:v>
      </x:c>
      <x:c r="F71" s="28" t="str"/>
      <x:c r="G71" s="28"/>
      <x:c r="H71" s="28"/>
      <x:c r="I71" s="28"/>
      <x:c r="J71" s="28"/>
      <x:c r="K71" s="28" t="str">
        <x:v>No</x:v>
      </x:c>
      <x:c r="L71" s="28" t="str"/>
      <x:c r="M71" s="28"/>
      <x:c r="N71" s="28"/>
      <x:c r="O71" s="28"/>
      <x:c r="P71" s="28"/>
      <x:c r="Q71" s="28"/>
      <x:c r="R71" s="28"/>
      <x:c r="S71" s="28"/>
      <x:c r="T71" s="28"/>
      <x:c r="U71" s="28"/>
    </x:row>
    <x:row r="72">
      <x:c r="A72" s="28" t="str">
        <x:v>TIME-0071</x:v>
      </x:c>
      <x:c r="B72" s="28" t="str"/>
      <x:c r="C72" s="28" t="str"/>
      <x:c r="D72" s="28"/>
      <x:c r="E72" s="28" t="str">
        <x:v>OTHER</x:v>
      </x:c>
      <x:c r="F72" s="28" t="str"/>
      <x:c r="G72" s="28"/>
      <x:c r="H72" s="28"/>
      <x:c r="I72" s="28"/>
      <x:c r="J72" s="28"/>
      <x:c r="K72" s="28" t="str">
        <x:v>No</x:v>
      </x:c>
      <x:c r="L72" s="28" t="str"/>
      <x:c r="M72" s="28"/>
      <x:c r="N72" s="28"/>
      <x:c r="O72" s="28"/>
      <x:c r="P72" s="28"/>
      <x:c r="Q72" s="28"/>
      <x:c r="R72" s="28"/>
      <x:c r="S72" s="28"/>
      <x:c r="T72" s="28"/>
      <x:c r="U72" s="28"/>
    </x:row>
    <x:row r="73">
      <x:c r="A73" s="28" t="str">
        <x:v>TIME-0072</x:v>
      </x:c>
      <x:c r="B73" s="28" t="str"/>
      <x:c r="C73" s="28" t="str"/>
      <x:c r="D73" s="28"/>
      <x:c r="E73" s="28" t="str">
        <x:v>OTHER</x:v>
      </x:c>
      <x:c r="F73" s="28" t="str"/>
      <x:c r="G73" s="28"/>
      <x:c r="H73" s="28"/>
      <x:c r="I73" s="28"/>
      <x:c r="J73" s="28"/>
      <x:c r="K73" s="28" t="str">
        <x:v>No</x:v>
      </x:c>
      <x:c r="L73" s="28" t="str"/>
      <x:c r="M73" s="28"/>
      <x:c r="N73" s="28"/>
      <x:c r="O73" s="28"/>
      <x:c r="P73" s="28"/>
      <x:c r="Q73" s="28"/>
      <x:c r="R73" s="28"/>
      <x:c r="S73" s="28"/>
      <x:c r="T73" s="28"/>
      <x:c r="U73" s="28"/>
    </x:row>
    <x:row r="74">
      <x:c r="A74" s="28" t="str">
        <x:v>TIME-0073</x:v>
      </x:c>
      <x:c r="B74" s="28" t="str"/>
      <x:c r="C74" s="28" t="str"/>
      <x:c r="D74" s="28"/>
      <x:c r="E74" s="28" t="str">
        <x:v>OTHER</x:v>
      </x:c>
      <x:c r="F74" s="28" t="str"/>
      <x:c r="G74" s="28"/>
      <x:c r="H74" s="28"/>
      <x:c r="I74" s="28"/>
      <x:c r="J74" s="28"/>
      <x:c r="K74" s="28" t="str">
        <x:v>No</x:v>
      </x:c>
      <x:c r="L74" s="28" t="str"/>
      <x:c r="M74" s="28"/>
      <x:c r="N74" s="28"/>
      <x:c r="O74" s="28"/>
      <x:c r="P74" s="28"/>
      <x:c r="Q74" s="28"/>
      <x:c r="R74" s="28"/>
      <x:c r="S74" s="28"/>
      <x:c r="T74" s="28"/>
      <x:c r="U74" s="28"/>
    </x:row>
    <x:row r="75">
      <x:c r="A75" s="28" t="str">
        <x:v>TIME-0074</x:v>
      </x:c>
      <x:c r="B75" s="28" t="str"/>
      <x:c r="C75" s="28" t="str"/>
      <x:c r="D75" s="28"/>
      <x:c r="E75" s="28" t="str">
        <x:v>OTHER</x:v>
      </x:c>
      <x:c r="F75" s="28" t="str"/>
      <x:c r="G75" s="28"/>
      <x:c r="H75" s="28"/>
      <x:c r="I75" s="28"/>
      <x:c r="J75" s="28"/>
      <x:c r="K75" s="28" t="str">
        <x:v>No</x:v>
      </x:c>
      <x:c r="L75" s="28" t="str"/>
      <x:c r="M75" s="28"/>
      <x:c r="N75" s="28"/>
      <x:c r="O75" s="28"/>
      <x:c r="P75" s="28"/>
      <x:c r="Q75" s="28"/>
      <x:c r="R75" s="28"/>
      <x:c r="S75" s="28"/>
      <x:c r="T75" s="28"/>
      <x:c r="U75" s="28"/>
    </x:row>
    <x:row r="76">
      <x:c r="A76" s="28" t="str">
        <x:v>TIME-0075</x:v>
      </x:c>
      <x:c r="B76" s="28" t="str"/>
      <x:c r="C76" s="28" t="str"/>
      <x:c r="D76" s="28"/>
      <x:c r="E76" s="28" t="str">
        <x:v>OTHER</x:v>
      </x:c>
      <x:c r="F76" s="28" t="str"/>
      <x:c r="G76" s="28"/>
      <x:c r="H76" s="28"/>
      <x:c r="I76" s="28"/>
      <x:c r="J76" s="28"/>
      <x:c r="K76" s="28" t="str">
        <x:v>No</x:v>
      </x:c>
      <x:c r="L76" s="28" t="str"/>
      <x:c r="M76" s="28"/>
      <x:c r="N76" s="28"/>
      <x:c r="O76" s="28"/>
      <x:c r="P76" s="28"/>
      <x:c r="Q76" s="28"/>
      <x:c r="R76" s="28"/>
      <x:c r="S76" s="28"/>
      <x:c r="T76" s="28"/>
      <x:c r="U76" s="28"/>
    </x:row>
    <x:row r="77">
      <x:c r="A77" s="28" t="str">
        <x:v>TIME-0076</x:v>
      </x:c>
      <x:c r="B77" s="28" t="str"/>
      <x:c r="C77" s="28" t="str"/>
      <x:c r="D77" s="28"/>
      <x:c r="E77" s="28" t="str">
        <x:v>OTHER</x:v>
      </x:c>
      <x:c r="F77" s="28" t="str"/>
      <x:c r="G77" s="28"/>
      <x:c r="H77" s="28"/>
      <x:c r="I77" s="28"/>
      <x:c r="J77" s="28"/>
      <x:c r="K77" s="28" t="str">
        <x:v>No</x:v>
      </x:c>
      <x:c r="L77" s="28" t="str"/>
      <x:c r="M77" s="28"/>
      <x:c r="N77" s="28"/>
      <x:c r="O77" s="28"/>
      <x:c r="P77" s="28"/>
      <x:c r="Q77" s="28"/>
      <x:c r="R77" s="28"/>
      <x:c r="S77" s="28"/>
      <x:c r="T77" s="28"/>
      <x:c r="U77" s="28"/>
    </x:row>
    <x:row r="78">
      <x:c r="A78" s="28" t="str">
        <x:v>TIME-0077</x:v>
      </x:c>
      <x:c r="B78" s="28" t="str"/>
      <x:c r="C78" s="28" t="str"/>
      <x:c r="D78" s="28"/>
      <x:c r="E78" s="28" t="str">
        <x:v>OTHER</x:v>
      </x:c>
      <x:c r="F78" s="28" t="str"/>
      <x:c r="G78" s="28"/>
      <x:c r="H78" s="28"/>
      <x:c r="I78" s="28"/>
      <x:c r="J78" s="28"/>
      <x:c r="K78" s="28" t="str">
        <x:v>No</x:v>
      </x:c>
      <x:c r="L78" s="28" t="str"/>
      <x:c r="M78" s="28"/>
      <x:c r="N78" s="28"/>
      <x:c r="O78" s="28"/>
      <x:c r="P78" s="28"/>
      <x:c r="Q78" s="28"/>
      <x:c r="R78" s="28"/>
      <x:c r="S78" s="28"/>
      <x:c r="T78" s="28"/>
      <x:c r="U78" s="28"/>
    </x:row>
    <x:row r="79">
      <x:c r="A79" s="28" t="str">
        <x:v>TIME-0078</x:v>
      </x:c>
      <x:c r="B79" s="28" t="str"/>
      <x:c r="C79" s="28" t="str"/>
      <x:c r="D79" s="28"/>
      <x:c r="E79" s="28" t="str">
        <x:v>OTHER</x:v>
      </x:c>
      <x:c r="F79" s="28" t="str"/>
      <x:c r="G79" s="28"/>
      <x:c r="H79" s="28"/>
      <x:c r="I79" s="28"/>
      <x:c r="J79" s="28"/>
      <x:c r="K79" s="28" t="str">
        <x:v>No</x:v>
      </x:c>
      <x:c r="L79" s="28" t="str"/>
      <x:c r="M79" s="28"/>
      <x:c r="N79" s="28"/>
      <x:c r="O79" s="28"/>
      <x:c r="P79" s="28"/>
      <x:c r="Q79" s="28"/>
      <x:c r="R79" s="28"/>
      <x:c r="S79" s="28"/>
      <x:c r="T79" s="28"/>
      <x:c r="U79" s="28"/>
    </x:row>
    <x:row r="80">
      <x:c r="A80" s="28" t="str">
        <x:v>TIME-0079</x:v>
      </x:c>
      <x:c r="B80" s="28" t="str"/>
      <x:c r="C80" s="28" t="str"/>
      <x:c r="D80" s="28"/>
      <x:c r="E80" s="28" t="str">
        <x:v>OTHER</x:v>
      </x:c>
      <x:c r="F80" s="28" t="str"/>
      <x:c r="G80" s="28"/>
      <x:c r="H80" s="28"/>
      <x:c r="I80" s="28"/>
      <x:c r="J80" s="28"/>
      <x:c r="K80" s="28" t="str">
        <x:v>No</x:v>
      </x:c>
      <x:c r="L80" s="28" t="str"/>
      <x:c r="M80" s="28"/>
      <x:c r="N80" s="28"/>
      <x:c r="O80" s="28"/>
      <x:c r="P80" s="28"/>
      <x:c r="Q80" s="28"/>
      <x:c r="R80" s="28"/>
      <x:c r="S80" s="28"/>
      <x:c r="T80" s="28"/>
      <x:c r="U80" s="28"/>
    </x:row>
    <x:row r="81">
      <x:c r="A81" s="28" t="str">
        <x:v>TIME-0080</x:v>
      </x:c>
      <x:c r="B81" s="28" t="str"/>
      <x:c r="C81" s="28" t="str"/>
      <x:c r="D81" s="28"/>
      <x:c r="E81" s="28" t="str">
        <x:v>OTHER</x:v>
      </x:c>
      <x:c r="F81" s="28" t="str"/>
      <x:c r="G81" s="28"/>
      <x:c r="H81" s="28"/>
      <x:c r="I81" s="28"/>
      <x:c r="J81" s="28"/>
      <x:c r="K81" s="28" t="str">
        <x:v>No</x:v>
      </x:c>
      <x:c r="L81" s="28" t="str"/>
      <x:c r="M81" s="28"/>
      <x:c r="N81" s="28"/>
      <x:c r="O81" s="28"/>
      <x:c r="P81" s="28"/>
      <x:c r="Q81" s="28"/>
      <x:c r="R81" s="28"/>
      <x:c r="S81" s="28"/>
      <x:c r="T81" s="28"/>
      <x:c r="U81" s="28"/>
    </x:row>
    <x:row r="82">
      <x:c r="A82" s="28" t="str">
        <x:v>TIME-0081</x:v>
      </x:c>
      <x:c r="B82" s="28" t="str"/>
      <x:c r="C82" s="28" t="str"/>
      <x:c r="D82" s="28"/>
      <x:c r="E82" s="28" t="str">
        <x:v>OTHER</x:v>
      </x:c>
      <x:c r="F82" s="28" t="str"/>
      <x:c r="G82" s="28"/>
      <x:c r="H82" s="28"/>
      <x:c r="I82" s="28"/>
      <x:c r="J82" s="28"/>
      <x:c r="K82" s="28" t="str">
        <x:v>No</x:v>
      </x:c>
      <x:c r="L82" s="28" t="str"/>
      <x:c r="M82" s="28"/>
      <x:c r="N82" s="28"/>
      <x:c r="O82" s="28"/>
      <x:c r="P82" s="28"/>
      <x:c r="Q82" s="28"/>
      <x:c r="R82" s="28"/>
      <x:c r="S82" s="28"/>
      <x:c r="T82" s="28"/>
      <x:c r="U82" s="28"/>
    </x:row>
    <x:row r="83">
      <x:c r="A83" s="28" t="str">
        <x:v>TIME-0082</x:v>
      </x:c>
      <x:c r="B83" s="28" t="str"/>
      <x:c r="C83" s="28" t="str"/>
      <x:c r="D83" s="28"/>
      <x:c r="E83" s="28" t="str">
        <x:v>OTHER</x:v>
      </x:c>
      <x:c r="F83" s="28" t="str"/>
      <x:c r="G83" s="28"/>
      <x:c r="H83" s="28"/>
      <x:c r="I83" s="28"/>
      <x:c r="J83" s="28"/>
      <x:c r="K83" s="28" t="str">
        <x:v>No</x:v>
      </x:c>
      <x:c r="L83" s="28" t="str"/>
      <x:c r="M83" s="28"/>
      <x:c r="N83" s="28"/>
      <x:c r="O83" s="28"/>
      <x:c r="P83" s="28"/>
      <x:c r="Q83" s="28"/>
      <x:c r="R83" s="28"/>
      <x:c r="S83" s="28"/>
      <x:c r="T83" s="28"/>
      <x:c r="U83" s="28"/>
    </x:row>
    <x:row r="84">
      <x:c r="A84" s="28" t="str">
        <x:v>TIME-0083</x:v>
      </x:c>
      <x:c r="B84" s="28" t="str"/>
      <x:c r="C84" s="28" t="str"/>
      <x:c r="D84" s="28"/>
      <x:c r="E84" s="28" t="str">
        <x:v>OTHER</x:v>
      </x:c>
      <x:c r="F84" s="28" t="str"/>
      <x:c r="G84" s="28"/>
      <x:c r="H84" s="28"/>
      <x:c r="I84" s="28"/>
      <x:c r="J84" s="28"/>
      <x:c r="K84" s="28" t="str">
        <x:v>No</x:v>
      </x:c>
      <x:c r="L84" s="28" t="str"/>
      <x:c r="M84" s="28"/>
      <x:c r="N84" s="28"/>
      <x:c r="O84" s="28"/>
      <x:c r="P84" s="28"/>
      <x:c r="Q84" s="28"/>
      <x:c r="R84" s="28"/>
      <x:c r="S84" s="28"/>
      <x:c r="T84" s="28"/>
      <x:c r="U84" s="28"/>
    </x:row>
    <x:row r="85">
      <x:c r="A85" s="28" t="str">
        <x:v>TIME-0084</x:v>
      </x:c>
      <x:c r="B85" s="28" t="str"/>
      <x:c r="C85" s="28" t="str"/>
      <x:c r="D85" s="28"/>
      <x:c r="E85" s="28" t="str">
        <x:v>OTHER</x:v>
      </x:c>
      <x:c r="F85" s="28" t="str"/>
      <x:c r="G85" s="28"/>
      <x:c r="H85" s="28"/>
      <x:c r="I85" s="28"/>
      <x:c r="J85" s="28"/>
      <x:c r="K85" s="28" t="str">
        <x:v>No</x:v>
      </x:c>
      <x:c r="L85" s="28" t="str"/>
      <x:c r="M85" s="28"/>
      <x:c r="N85" s="28"/>
      <x:c r="O85" s="28"/>
      <x:c r="P85" s="28"/>
      <x:c r="Q85" s="28"/>
      <x:c r="R85" s="28"/>
      <x:c r="S85" s="28"/>
      <x:c r="T85" s="28"/>
      <x:c r="U85" s="28"/>
    </x:row>
    <x:row r="86">
      <x:c r="A86" s="28" t="str">
        <x:v>TIME-0085</x:v>
      </x:c>
      <x:c r="B86" s="28" t="str"/>
      <x:c r="C86" s="28" t="str"/>
      <x:c r="D86" s="28"/>
      <x:c r="E86" s="28" t="str">
        <x:v>OTHER</x:v>
      </x:c>
      <x:c r="F86" s="28" t="str"/>
      <x:c r="G86" s="28"/>
      <x:c r="H86" s="28"/>
      <x:c r="I86" s="28"/>
      <x:c r="J86" s="28"/>
      <x:c r="K86" s="28" t="str">
        <x:v>No</x:v>
      </x:c>
      <x:c r="L86" s="28" t="str"/>
      <x:c r="M86" s="28"/>
      <x:c r="N86" s="28"/>
      <x:c r="O86" s="28"/>
      <x:c r="P86" s="28"/>
      <x:c r="Q86" s="28"/>
      <x:c r="R86" s="28"/>
      <x:c r="S86" s="28"/>
      <x:c r="T86" s="28"/>
      <x:c r="U86" s="28"/>
    </x:row>
    <x:row r="87">
      <x:c r="A87" s="28" t="str">
        <x:v>TIME-0086</x:v>
      </x:c>
      <x:c r="B87" s="28" t="str"/>
      <x:c r="C87" s="28" t="str"/>
      <x:c r="D87" s="28"/>
      <x:c r="E87" s="28" t="str">
        <x:v>OTHER</x:v>
      </x:c>
      <x:c r="F87" s="28" t="str"/>
      <x:c r="G87" s="28"/>
      <x:c r="H87" s="28"/>
      <x:c r="I87" s="28"/>
      <x:c r="J87" s="28"/>
      <x:c r="K87" s="28" t="str">
        <x:v>No</x:v>
      </x:c>
      <x:c r="L87" s="28" t="str"/>
      <x:c r="M87" s="28"/>
      <x:c r="N87" s="28"/>
      <x:c r="O87" s="28"/>
      <x:c r="P87" s="28"/>
      <x:c r="Q87" s="28"/>
      <x:c r="R87" s="28"/>
      <x:c r="S87" s="28"/>
      <x:c r="T87" s="28"/>
      <x:c r="U87" s="28"/>
    </x:row>
    <x:row r="88">
      <x:c r="A88" s="28" t="str">
        <x:v>TIME-0087</x:v>
      </x:c>
      <x:c r="B88" s="28" t="str"/>
      <x:c r="C88" s="28" t="str"/>
      <x:c r="D88" s="28"/>
      <x:c r="E88" s="28" t="str">
        <x:v>OTHER</x:v>
      </x:c>
      <x:c r="F88" s="28" t="str"/>
      <x:c r="G88" s="28"/>
      <x:c r="H88" s="28"/>
      <x:c r="I88" s="28"/>
      <x:c r="J88" s="28"/>
      <x:c r="K88" s="28" t="str">
        <x:v>No</x:v>
      </x:c>
      <x:c r="L88" s="28" t="str"/>
      <x:c r="M88" s="28"/>
      <x:c r="N88" s="28"/>
      <x:c r="O88" s="28"/>
      <x:c r="P88" s="28"/>
      <x:c r="Q88" s="28"/>
      <x:c r="R88" s="28"/>
      <x:c r="S88" s="28"/>
      <x:c r="T88" s="28"/>
      <x:c r="U88" s="28"/>
    </x:row>
    <x:row r="89">
      <x:c r="A89" s="28" t="str">
        <x:v>TIME-0088</x:v>
      </x:c>
      <x:c r="B89" s="28" t="str"/>
      <x:c r="C89" s="28" t="str"/>
      <x:c r="D89" s="28"/>
      <x:c r="E89" s="28" t="str">
        <x:v>OTHER</x:v>
      </x:c>
      <x:c r="F89" s="28" t="str"/>
      <x:c r="G89" s="28"/>
      <x:c r="H89" s="28"/>
      <x:c r="I89" s="28"/>
      <x:c r="J89" s="28"/>
      <x:c r="K89" s="28" t="str">
        <x:v>No</x:v>
      </x:c>
      <x:c r="L89" s="28" t="str"/>
      <x:c r="M89" s="28"/>
      <x:c r="N89" s="28"/>
      <x:c r="O89" s="28"/>
      <x:c r="P89" s="28"/>
      <x:c r="Q89" s="28"/>
      <x:c r="R89" s="28"/>
      <x:c r="S89" s="28"/>
      <x:c r="T89" s="28"/>
      <x:c r="U89" s="28"/>
    </x:row>
    <x:row r="90">
      <x:c r="A90" s="28" t="str">
        <x:v>TIME-0089</x:v>
      </x:c>
      <x:c r="B90" s="28" t="str"/>
      <x:c r="C90" s="28" t="str"/>
      <x:c r="D90" s="28"/>
      <x:c r="E90" s="28" t="str">
        <x:v>OTHER</x:v>
      </x:c>
      <x:c r="F90" s="28" t="str"/>
      <x:c r="G90" s="28"/>
      <x:c r="H90" s="28"/>
      <x:c r="I90" s="28"/>
      <x:c r="J90" s="28"/>
      <x:c r="K90" s="28" t="str">
        <x:v>No</x:v>
      </x:c>
      <x:c r="L90" s="28" t="str"/>
      <x:c r="M90" s="28"/>
      <x:c r="N90" s="28"/>
      <x:c r="O90" s="28"/>
      <x:c r="P90" s="28"/>
      <x:c r="Q90" s="28"/>
      <x:c r="R90" s="28"/>
      <x:c r="S90" s="28"/>
      <x:c r="T90" s="28"/>
      <x:c r="U90" s="28"/>
    </x:row>
    <x:row r="91">
      <x:c r="A91" s="28" t="str">
        <x:v>TIME-0090</x:v>
      </x:c>
      <x:c r="B91" s="28" t="str"/>
      <x:c r="C91" s="28" t="str"/>
      <x:c r="D91" s="28"/>
      <x:c r="E91" s="28" t="str">
        <x:v>OTHER</x:v>
      </x:c>
      <x:c r="F91" s="28" t="str"/>
      <x:c r="G91" s="28"/>
      <x:c r="H91" s="28"/>
      <x:c r="I91" s="28"/>
      <x:c r="J91" s="28"/>
      <x:c r="K91" s="28" t="str">
        <x:v>No</x:v>
      </x:c>
      <x:c r="L91" s="28" t="str"/>
      <x:c r="M91" s="28"/>
      <x:c r="N91" s="28"/>
      <x:c r="O91" s="28"/>
      <x:c r="P91" s="28"/>
      <x:c r="Q91" s="28"/>
      <x:c r="R91" s="28"/>
      <x:c r="S91" s="28"/>
      <x:c r="T91" s="28"/>
      <x:c r="U91" s="28"/>
    </x:row>
    <x:row r="92">
      <x:c r="A92" s="28" t="str">
        <x:v>TIME-0091</x:v>
      </x:c>
      <x:c r="B92" s="28" t="str"/>
      <x:c r="C92" s="28" t="str"/>
      <x:c r="D92" s="28"/>
      <x:c r="E92" s="28" t="str">
        <x:v>OTHER</x:v>
      </x:c>
      <x:c r="F92" s="28" t="str"/>
      <x:c r="G92" s="28"/>
      <x:c r="H92" s="28"/>
      <x:c r="I92" s="28"/>
      <x:c r="J92" s="28"/>
      <x:c r="K92" s="28" t="str">
        <x:v>No</x:v>
      </x:c>
      <x:c r="L92" s="28" t="str"/>
      <x:c r="M92" s="28"/>
      <x:c r="N92" s="28"/>
      <x:c r="O92" s="28"/>
      <x:c r="P92" s="28"/>
      <x:c r="Q92" s="28"/>
      <x:c r="R92" s="28"/>
      <x:c r="S92" s="28"/>
      <x:c r="T92" s="28"/>
      <x:c r="U92" s="28"/>
    </x:row>
    <x:row r="93">
      <x:c r="A93" s="28" t="str">
        <x:v>TIME-0092</x:v>
      </x:c>
      <x:c r="B93" s="28" t="str"/>
      <x:c r="C93" s="28" t="str"/>
      <x:c r="D93" s="28"/>
      <x:c r="E93" s="28" t="str">
        <x:v>OTHER</x:v>
      </x:c>
      <x:c r="F93" s="28" t="str"/>
      <x:c r="G93" s="28"/>
      <x:c r="H93" s="28"/>
      <x:c r="I93" s="28"/>
      <x:c r="J93" s="28"/>
      <x:c r="K93" s="28" t="str">
        <x:v>No</x:v>
      </x:c>
      <x:c r="L93" s="28" t="str"/>
      <x:c r="M93" s="28"/>
      <x:c r="N93" s="28"/>
      <x:c r="O93" s="28"/>
      <x:c r="P93" s="28"/>
      <x:c r="Q93" s="28"/>
      <x:c r="R93" s="28"/>
      <x:c r="S93" s="28"/>
      <x:c r="T93" s="28"/>
      <x:c r="U93" s="28"/>
    </x:row>
    <x:row r="94">
      <x:c r="A94" s="28" t="str">
        <x:v>TIME-0093</x:v>
      </x:c>
      <x:c r="B94" s="28" t="str"/>
      <x:c r="C94" s="28" t="str"/>
      <x:c r="D94" s="28"/>
      <x:c r="E94" s="28" t="str">
        <x:v>OTHER</x:v>
      </x:c>
      <x:c r="F94" s="28" t="str"/>
      <x:c r="G94" s="28"/>
      <x:c r="H94" s="28"/>
      <x:c r="I94" s="28"/>
      <x:c r="J94" s="28"/>
      <x:c r="K94" s="28" t="str">
        <x:v>No</x:v>
      </x:c>
      <x:c r="L94" s="28" t="str"/>
      <x:c r="M94" s="28"/>
      <x:c r="N94" s="28"/>
      <x:c r="O94" s="28"/>
      <x:c r="P94" s="28"/>
      <x:c r="Q94" s="28"/>
      <x:c r="R94" s="28"/>
      <x:c r="S94" s="28"/>
      <x:c r="T94" s="28"/>
      <x:c r="U94" s="28"/>
    </x:row>
    <x:row r="95">
      <x:c r="A95" s="28" t="str">
        <x:v>TIME-0094</x:v>
      </x:c>
      <x:c r="B95" s="28" t="str"/>
      <x:c r="C95" s="28" t="str"/>
      <x:c r="D95" s="28"/>
      <x:c r="E95" s="28" t="str">
        <x:v>OTHER</x:v>
      </x:c>
      <x:c r="F95" s="28" t="str"/>
      <x:c r="G95" s="28"/>
      <x:c r="H95" s="28"/>
      <x:c r="I95" s="28"/>
      <x:c r="J95" s="28"/>
      <x:c r="K95" s="28" t="str">
        <x:v>No</x:v>
      </x:c>
      <x:c r="L95" s="28" t="str"/>
      <x:c r="M95" s="28"/>
      <x:c r="N95" s="28"/>
      <x:c r="O95" s="28"/>
      <x:c r="P95" s="28"/>
      <x:c r="Q95" s="28"/>
      <x:c r="R95" s="28"/>
      <x:c r="S95" s="28"/>
      <x:c r="T95" s="28"/>
      <x:c r="U95" s="28"/>
    </x:row>
    <x:row r="96">
      <x:c r="A96" s="28" t="str">
        <x:v>TIME-0095</x:v>
      </x:c>
      <x:c r="B96" s="28" t="str"/>
      <x:c r="C96" s="28" t="str"/>
      <x:c r="D96" s="28"/>
      <x:c r="E96" s="28" t="str">
        <x:v>OTHER</x:v>
      </x:c>
      <x:c r="F96" s="28" t="str"/>
      <x:c r="G96" s="28"/>
      <x:c r="H96" s="28"/>
      <x:c r="I96" s="28"/>
      <x:c r="J96" s="28"/>
      <x:c r="K96" s="28" t="str">
        <x:v>No</x:v>
      </x:c>
      <x:c r="L96" s="28" t="str"/>
      <x:c r="M96" s="28"/>
      <x:c r="N96" s="28"/>
      <x:c r="O96" s="28"/>
      <x:c r="P96" s="28"/>
      <x:c r="Q96" s="28"/>
      <x:c r="R96" s="28"/>
      <x:c r="S96" s="28"/>
      <x:c r="T96" s="28"/>
      <x:c r="U96" s="28"/>
    </x:row>
    <x:row r="97">
      <x:c r="A97" s="28" t="str">
        <x:v>TIME-0096</x:v>
      </x:c>
      <x:c r="B97" s="28" t="str"/>
      <x:c r="C97" s="28" t="str"/>
      <x:c r="D97" s="28"/>
      <x:c r="E97" s="28" t="str">
        <x:v>OTHER</x:v>
      </x:c>
      <x:c r="F97" s="28" t="str"/>
      <x:c r="G97" s="28"/>
      <x:c r="H97" s="28"/>
      <x:c r="I97" s="28"/>
      <x:c r="J97" s="28"/>
      <x:c r="K97" s="28" t="str">
        <x:v>No</x:v>
      </x:c>
      <x:c r="L97" s="28" t="str"/>
      <x:c r="M97" s="28"/>
      <x:c r="N97" s="28"/>
      <x:c r="O97" s="28"/>
      <x:c r="P97" s="28"/>
      <x:c r="Q97" s="28"/>
      <x:c r="R97" s="28"/>
      <x:c r="S97" s="28"/>
      <x:c r="T97" s="28"/>
      <x:c r="U97" s="28"/>
    </x:row>
    <x:row r="98">
      <x:c r="A98" s="28" t="str">
        <x:v>TIME-0097</x:v>
      </x:c>
      <x:c r="B98" s="28" t="str"/>
      <x:c r="C98" s="28" t="str"/>
      <x:c r="D98" s="28"/>
      <x:c r="E98" s="28" t="str">
        <x:v>OTHER</x:v>
      </x:c>
      <x:c r="F98" s="28" t="str"/>
      <x:c r="G98" s="28"/>
      <x:c r="H98" s="28"/>
      <x:c r="I98" s="28"/>
      <x:c r="J98" s="28"/>
      <x:c r="K98" s="28" t="str">
        <x:v>No</x:v>
      </x:c>
      <x:c r="L98" s="28" t="str"/>
      <x:c r="M98" s="28"/>
      <x:c r="N98" s="28"/>
      <x:c r="O98" s="28"/>
      <x:c r="P98" s="28"/>
      <x:c r="Q98" s="28"/>
      <x:c r="R98" s="28"/>
      <x:c r="S98" s="28"/>
      <x:c r="T98" s="28"/>
      <x:c r="U98" s="28"/>
    </x:row>
    <x:row r="99">
      <x:c r="A99" s="28" t="str">
        <x:v>TIME-0098</x:v>
      </x:c>
      <x:c r="B99" s="28" t="str"/>
      <x:c r="C99" s="28" t="str"/>
      <x:c r="D99" s="28"/>
      <x:c r="E99" s="28" t="str">
        <x:v>OTHER</x:v>
      </x:c>
      <x:c r="F99" s="28" t="str"/>
      <x:c r="G99" s="28"/>
      <x:c r="H99" s="28"/>
      <x:c r="I99" s="28"/>
      <x:c r="J99" s="28"/>
      <x:c r="K99" s="28" t="str">
        <x:v>No</x:v>
      </x:c>
      <x:c r="L99" s="28" t="str"/>
      <x:c r="M99" s="28"/>
      <x:c r="N99" s="28"/>
      <x:c r="O99" s="28"/>
      <x:c r="P99" s="28"/>
      <x:c r="Q99" s="28"/>
      <x:c r="R99" s="28"/>
      <x:c r="S99" s="28"/>
      <x:c r="T99" s="28"/>
      <x:c r="U99" s="28"/>
    </x:row>
    <x:row r="100">
      <x:c r="A100" s="28" t="str">
        <x:v>TIME-0099</x:v>
      </x:c>
      <x:c r="B100" s="28" t="str"/>
      <x:c r="C100" s="28" t="str"/>
      <x:c r="D100" s="28"/>
      <x:c r="E100" s="28" t="str">
        <x:v>OTHER</x:v>
      </x:c>
      <x:c r="F100" s="28" t="str"/>
      <x:c r="G100" s="28"/>
      <x:c r="H100" s="28"/>
      <x:c r="I100" s="28"/>
      <x:c r="J100" s="28"/>
      <x:c r="K100" s="28" t="str">
        <x:v>No</x:v>
      </x:c>
      <x:c r="L100" s="28" t="str"/>
      <x:c r="M100" s="28"/>
      <x:c r="N100" s="28"/>
      <x:c r="O100" s="28"/>
      <x:c r="P100" s="28"/>
      <x:c r="Q100" s="28"/>
      <x:c r="R100" s="28"/>
      <x:c r="S100" s="28"/>
      <x:c r="T100" s="28"/>
      <x:c r="U100" s="28"/>
    </x:row>
    <x:row r="101">
      <x:c r="A101" s="28" t="str">
        <x:v>TIME-0100</x:v>
      </x:c>
      <x:c r="B101" s="28" t="str"/>
      <x:c r="C101" s="28" t="str"/>
      <x:c r="D101" s="28"/>
      <x:c r="E101" s="28" t="str">
        <x:v>OTHER</x:v>
      </x:c>
      <x:c r="F101" s="28" t="str"/>
      <x:c r="G101" s="28"/>
      <x:c r="H101" s="28"/>
      <x:c r="I101" s="28"/>
      <x:c r="J101" s="28"/>
      <x:c r="K101" s="28" t="str">
        <x:v>No</x:v>
      </x:c>
      <x:c r="L101" s="28" t="str"/>
      <x:c r="M101" s="28"/>
      <x:c r="N101" s="28"/>
      <x:c r="O101" s="28"/>
      <x:c r="P101" s="28"/>
      <x:c r="Q101" s="28"/>
      <x:c r="R101" s="28"/>
      <x:c r="S101" s="28"/>
      <x:c r="T101" s="28"/>
      <x:c r="U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</x:row>
  </x:sheetData>
  <x:dataValidations count="2">
    <x:dataValidation type="list" sqref="E2:E500">
      <x:formula1>"INTAKE,PREP,CLASSIFY,READ_HEADER,READ_LINES,LOOKUP,VALIDATE,CODE,ENTER,PREP_EXPORT,IMPORT,REVIEW,CLARIFY,ARCHIVE,REWORK,OTHER"</x:formula1>
    </x:dataValidation>
    <x:dataValidation type="list" sqref="K2:K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111abe06cd4b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8" hidden="0" customWidth="1"/>
    <x:col min="5" max="5" width="22" hidden="0" customWidth="1"/>
    <x:col min="6" max="6" width="20" hidden="0" customWidth="1"/>
    <x:col min="7" max="7" width="12" hidden="0" customWidth="1"/>
    <x:col min="8" max="8" width="20" hidden="0" customWidth="1"/>
    <x:col min="9" max="9" width="28" hidden="0" customWidth="1"/>
    <x:col min="10" max="10" width="18" hidden="0" customWidth="1"/>
    <x:col min="11" max="11" width="34" hidden="0" customWidth="1"/>
    <x:col min="12" max="12" width="24" hidden="0" customWidth="1"/>
    <x:col min="13" max="13" width="34" hidden="0" customWidth="1"/>
  </x:cols>
  <x:sheetData>
    <x:row r="1">
      <x:c r="A1" s="6" t="str">
        <x:v>Event ID</x:v>
      </x:c>
      <x:c r="B1" s="6" t="str">
        <x:v>Interview ID</x:v>
      </x:c>
      <x:c r="C1" s="6" t="str">
        <x:v>Observation ID</x:v>
      </x:c>
      <x:c r="D1" s="6" t="str">
        <x:v>Workflow Stage</x:v>
      </x:c>
      <x:c r="E1" s="6" t="str">
        <x:v>Field/Output</x:v>
      </x:c>
      <x:c r="F1" s="6" t="str">
        <x:v>Error Category</x:v>
      </x:c>
      <x:c r="G1" s="6" t="str">
        <x:v>Severity</x:v>
      </x:c>
      <x:c r="H1" s="6" t="str">
        <x:v>Root Cause</x:v>
      </x:c>
      <x:c r="I1" s="6" t="str">
        <x:v>How Detected</x:v>
      </x:c>
      <x:c r="J1" s="6" t="str">
        <x:v>Correction Minutes</x:v>
      </x:c>
      <x:c r="K1" s="6" t="str">
        <x:v>Downstream Impact</x:v>
      </x:c>
      <x:c r="L1" s="6" t="str">
        <x:v>Product Response</x:v>
      </x:c>
      <x:c r="M1" s="6" t="str">
        <x:v>Notes</x:v>
      </x:c>
      <x:c r="N1" s="28"/>
      <x:c r="O1" s="28"/>
      <x:c r="P1" s="28"/>
      <x:c r="Q1" s="28"/>
      <x:c r="R1" s="28"/>
      <x:c r="S1" s="28"/>
      <x:c r="T1" s="28"/>
      <x:c r="U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</x:row>
  </x:sheetData>
  <x:conditionalFormatting sqref="G2:G500">
    <x:cfRule type="expression" dxfId="4" priority="1">
      <x:formula>G2="CRITICAL"</x:formula>
    </x:cfRule>
    <x:cfRule type="expression" dxfId="5" priority="2">
      <x:formula>G2="HIGH"</x:formula>
    </x:cfRule>
  </x:conditionalFormatting>
  <x:dataValidations count="5">
    <x:dataValidation type="list" sqref="D2:D500">
      <x:formula1>"INTAKE,PREP,CLASSIFY,READ_HEADER,READ_LINES,LOOKUP,VALIDATE,CODE,ENTER,PREP_EXPORT,IMPORT,REVIEW,CLARIFY,ARCHIVE,REWORK,OTHER"</x:formula1>
    </x:dataValidation>
    <x:dataValidation type="list" sqref="F2:F500">
      <x:formula1>"SOURCE_QUALITY,FILE_HANDLING,DOC_CLASS,PARTY,IDENTIFIER,DATE,CURRENCY,AMOUNT,TAX,LINE_ITEM,CLASSIFICATION,DUPLICATE,ARITHMETIC,EXPORT_MAPPING,SYSTEM_ENTRY,REVIEW_ESCAPE,PERMISSION,OTHER"</x:formula1>
    </x:dataValidation>
    <x:dataValidation type="list" sqref="G2:G500">
      <x:formula1>"CRITICAL,HIGH,MEDIUM,LOW"</x:formula1>
    </x:dataValidation>
    <x:dataValidation type="list" sqref="H2:H500">
      <x:formula1>"SOURCE_AMBIGUOUS,OPERATOR_ENTRY,MASTER_DATA,PROCESS_GAP,SYSTEM_LIMITATION,IMPORT_TEMPLATE,SUPPLIER_ERROR,CUSTOMER_RULE,UNKNOWN"</x:formula1>
    </x:dataValidation>
    <x:dataValidation type="list" sqref="L2:L500">
      <x:formula1>"AUTOMATE,DETECT,HIGHLIGHT_EVIDENCE,REQUIRE_CONFIRMATION,BLOCK_EXPORT,OUT_OF_SCOPE"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7dfede289c4be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12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2" hidden="0" customWidth="1"/>
    <x:col min="13" max="13" width="18" hidden="0" customWidth="1"/>
    <x:col min="14" max="14" width="16" hidden="0" customWidth="1"/>
    <x:col min="15" max="15" width="36" hidden="0" customWidth="1"/>
  </x:cols>
  <x:sheetData>
    <x:row r="1">
      <x:c r="A1" s="6" t="str">
        <x:v>Interview ID</x:v>
      </x:c>
      <x:c r="B1" s="6" t="str">
        <x:v>Organization ID</x:v>
      </x:c>
      <x:c r="C1" s="6" t="str">
        <x:v>Role</x:v>
      </x:c>
      <x:c r="D1" s="6" t="str">
        <x:v>Completed?</x:v>
      </x:c>
      <x:c r="E1" s="6" t="str">
        <x:v>Usable Observations</x:v>
      </x:c>
      <x:c r="F1" s="6" t="str">
        <x:v>Documents Timed</x:v>
      </x:c>
      <x:c r="G1" s="6" t="str">
        <x:v>Active Minutes</x:v>
      </x:c>
      <x:c r="H1" s="6" t="str">
        <x:v>Rework Minutes</x:v>
      </x:c>
      <x:c r="I1" s="6" t="str">
        <x:v>Touch Min/Doc</x:v>
      </x:c>
      <x:c r="J1" s="6" t="str">
        <x:v>Errors Recorded</x:v>
      </x:c>
      <x:c r="K1" s="6" t="str">
        <x:v>Critical/High Errors</x:v>
      </x:c>
      <x:c r="L1" s="6" t="str">
        <x:v>Reviewed Export Useful?</x:v>
      </x:c>
      <x:c r="M1" s="6" t="str">
        <x:v>Pilot Willingness</x:v>
      </x:c>
      <x:c r="N1" s="6" t="str">
        <x:v>Quality Flag</x:v>
      </x:c>
      <x:c r="O1" s="6" t="str">
        <x:v>Key Finding</x:v>
      </x:c>
      <x:c r="P1" s="28"/>
      <x:c r="Q1" s="28"/>
      <x:c r="R1" s="28"/>
      <x:c r="S1" s="28"/>
      <x:c r="T1" s="28"/>
      <x:c r="U1" s="28"/>
    </x:row>
    <x:row r="2">
      <x:c r="A2" s="28" t="str">
        <x:v>INT-001</x:v>
      </x:c>
      <x:c r="B2" s="28" t="str">
        <x:f>IFERROR(INDEX(Interviews!$C$2:$C$100,MATCH(A2,Interviews!$A$2:$A$100,0)),"")</x:f>
      </x:c>
      <x:c r="C2" s="28" t="str">
        <x:f>IFERROR(INDEX(Interviews!$E$2:$E$100,MATCH(A2,Interviews!$A$2:$A$100,0)),"")</x:f>
      </x:c>
      <x:c r="D2" s="28" t="str">
        <x:f>IFERROR(INDEX(Interviews!$G$2:$G$100,MATCH(A2,Interviews!$A$2:$A$100,0)),"")</x:f>
        <x:v>No</x:v>
      </x:c>
      <x:c r="E2" s="28" t="n">
        <x:f>COUNTIFS(Observations!$B$2:$B$100,A2,Observations!$S$2:$S$100,"Yes")</x:f>
        <x:v>0</x:v>
      </x:c>
      <x:c r="F2" s="28" t="n">
        <x:f>SUMIFS(Observations!$F$2:$F$100,Observations!$B$2:$B$100,A2,Observations!$S$2:$S$100,"Yes")</x:f>
        <x:v>0</x:v>
      </x:c>
      <x:c r="G2" s="32" t="n">
        <x:f>SUMIFS(Observations!$L$2:$L$100,Observations!$B$2:$B$100,A2,Observations!$S$2:$S$100,"Yes")/60</x:f>
        <x:v>0</x:v>
      </x:c>
      <x:c r="H2" s="32" t="n">
        <x:f>SUMIFS(Observations!$N$2:$N$100,Observations!$B$2:$B$100,A2,Observations!$S$2:$S$100,"Yes")/60</x:f>
        <x:v>0</x:v>
      </x:c>
      <x:c r="I2" s="32" t="str">
        <x:f>IF(F2&gt;0,G2/F2,"")</x:f>
      </x:c>
      <x:c r="J2" s="28" t="n">
        <x:f>COUNTIF(Errors!$B$2:$B$500,A2)</x:f>
        <x:v>0</x:v>
      </x:c>
      <x:c r="K2" s="28" t="n">
        <x:f>COUNTIFS(Errors!$B$2:$B$500,A2,Errors!$G$2:$G$500,"CRITICAL")+COUNTIFS(Errors!$B$2:$B$500,A2,Errors!$G$2:$G$500,"HIGH")</x:f>
        <x:v>0</x:v>
      </x:c>
      <x:c r="L2" s="28" t="str">
        <x:f>IFERROR(INDEX(Interviews!$O$2:$O$100,MATCH(A2,Interviews!$A$2:$A$100,0)),"")</x:f>
        <x:v>Unknown</x:v>
      </x:c>
      <x:c r="M2" s="28" t="str">
        <x:f>IFERROR(INDEX(Interviews!$P$2:$P$100,MATCH(A2,Interviews!$A$2:$A$100,0)),"")</x:f>
        <x:v>Unknown</x:v>
      </x:c>
      <x:c r="N2" s="28" t="str">
        <x:f>IF(AND(D2="Yes",E2&gt;0,F2&gt;0,J2&gt;0),"USABLE","INCOMPLETE")</x:f>
        <x:v>INCOMPLETE</x:v>
      </x:c>
      <x:c r="O2" s="28" t="str"/>
      <x:c r="P2" s="28"/>
      <x:c r="Q2" s="28"/>
      <x:c r="R2" s="28"/>
      <x:c r="S2" s="28"/>
      <x:c r="T2" s="28"/>
      <x:c r="U2" s="28"/>
    </x:row>
    <x:row r="3">
      <x:c r="A3" s="28" t="str">
        <x:v>INT-002</x:v>
      </x:c>
      <x:c r="B3" s="28" t="str">
        <x:f>IFERROR(INDEX(Interviews!$C$2:$C$100,MATCH(A3,Interviews!$A$2:$A$100,0)),"")</x:f>
      </x:c>
      <x:c r="C3" s="28" t="str">
        <x:f>IFERROR(INDEX(Interviews!$E$2:$E$100,MATCH(A3,Interviews!$A$2:$A$100,0)),"")</x:f>
      </x:c>
      <x:c r="D3" s="28" t="str">
        <x:f>IFERROR(INDEX(Interviews!$G$2:$G$100,MATCH(A3,Interviews!$A$2:$A$100,0)),"")</x:f>
        <x:v>No</x:v>
      </x:c>
      <x:c r="E3" s="28" t="n">
        <x:f>COUNTIFS(Observations!$B$2:$B$100,A3,Observations!$S$2:$S$100,"Yes")</x:f>
        <x:v>0</x:v>
      </x:c>
      <x:c r="F3" s="28" t="n">
        <x:f>SUMIFS(Observations!$F$2:$F$100,Observations!$B$2:$B$100,A3,Observations!$S$2:$S$100,"Yes")</x:f>
        <x:v>0</x:v>
      </x:c>
      <x:c r="G3" s="32" t="n">
        <x:f>SUMIFS(Observations!$L$2:$L$100,Observations!$B$2:$B$100,A3,Observations!$S$2:$S$100,"Yes")/60</x:f>
        <x:v>0</x:v>
      </x:c>
      <x:c r="H3" s="32" t="n">
        <x:f>SUMIFS(Observations!$N$2:$N$100,Observations!$B$2:$B$100,A3,Observations!$S$2:$S$100,"Yes")/60</x:f>
        <x:v>0</x:v>
      </x:c>
      <x:c r="I3" s="32" t="str">
        <x:f>IF(F3&gt;0,G3/F3,"")</x:f>
      </x:c>
      <x:c r="J3" s="28" t="n">
        <x:f>COUNTIF(Errors!$B$2:$B$500,A3)</x:f>
        <x:v>0</x:v>
      </x:c>
      <x:c r="K3" s="28" t="n">
        <x:f>COUNTIFS(Errors!$B$2:$B$500,A3,Errors!$G$2:$G$500,"CRITICAL")+COUNTIFS(Errors!$B$2:$B$500,A3,Errors!$G$2:$G$500,"HIGH")</x:f>
        <x:v>0</x:v>
      </x:c>
      <x:c r="L3" s="28" t="str">
        <x:f>IFERROR(INDEX(Interviews!$O$2:$O$100,MATCH(A3,Interviews!$A$2:$A$100,0)),"")</x:f>
        <x:v>Unknown</x:v>
      </x:c>
      <x:c r="M3" s="28" t="str">
        <x:f>IFERROR(INDEX(Interviews!$P$2:$P$100,MATCH(A3,Interviews!$A$2:$A$100,0)),"")</x:f>
        <x:v>Unknown</x:v>
      </x:c>
      <x:c r="N3" s="28" t="str">
        <x:f>IF(AND(D3="Yes",E3&gt;0,F3&gt;0,J3&gt;0),"USABLE","INCOMPLETE")</x:f>
        <x:v>INCOMPLETE</x:v>
      </x:c>
      <x:c r="O3" s="28" t="str"/>
      <x:c r="P3" s="28"/>
      <x:c r="Q3" s="28"/>
      <x:c r="R3" s="28"/>
      <x:c r="S3" s="28"/>
      <x:c r="T3" s="28"/>
      <x:c r="U3" s="28"/>
    </x:row>
    <x:row r="4">
      <x:c r="A4" s="28" t="str">
        <x:v>INT-003</x:v>
      </x:c>
      <x:c r="B4" s="28" t="str">
        <x:f>IFERROR(INDEX(Interviews!$C$2:$C$100,MATCH(A4,Interviews!$A$2:$A$100,0)),"")</x:f>
      </x:c>
      <x:c r="C4" s="28" t="str">
        <x:f>IFERROR(INDEX(Interviews!$E$2:$E$100,MATCH(A4,Interviews!$A$2:$A$100,0)),"")</x:f>
      </x:c>
      <x:c r="D4" s="28" t="str">
        <x:f>IFERROR(INDEX(Interviews!$G$2:$G$100,MATCH(A4,Interviews!$A$2:$A$100,0)),"")</x:f>
        <x:v>No</x:v>
      </x:c>
      <x:c r="E4" s="28" t="n">
        <x:f>COUNTIFS(Observations!$B$2:$B$100,A4,Observations!$S$2:$S$100,"Yes")</x:f>
        <x:v>0</x:v>
      </x:c>
      <x:c r="F4" s="28" t="n">
        <x:f>SUMIFS(Observations!$F$2:$F$100,Observations!$B$2:$B$100,A4,Observations!$S$2:$S$100,"Yes")</x:f>
        <x:v>0</x:v>
      </x:c>
      <x:c r="G4" s="32" t="n">
        <x:f>SUMIFS(Observations!$L$2:$L$100,Observations!$B$2:$B$100,A4,Observations!$S$2:$S$100,"Yes")/60</x:f>
        <x:v>0</x:v>
      </x:c>
      <x:c r="H4" s="32" t="n">
        <x:f>SUMIFS(Observations!$N$2:$N$100,Observations!$B$2:$B$100,A4,Observations!$S$2:$S$100,"Yes")/60</x:f>
        <x:v>0</x:v>
      </x:c>
      <x:c r="I4" s="32" t="str">
        <x:f>IF(F4&gt;0,G4/F4,"")</x:f>
      </x:c>
      <x:c r="J4" s="28" t="n">
        <x:f>COUNTIF(Errors!$B$2:$B$500,A4)</x:f>
        <x:v>0</x:v>
      </x:c>
      <x:c r="K4" s="28" t="n">
        <x:f>COUNTIFS(Errors!$B$2:$B$500,A4,Errors!$G$2:$G$500,"CRITICAL")+COUNTIFS(Errors!$B$2:$B$500,A4,Errors!$G$2:$G$500,"HIGH")</x:f>
        <x:v>0</x:v>
      </x:c>
      <x:c r="L4" s="28" t="str">
        <x:f>IFERROR(INDEX(Interviews!$O$2:$O$100,MATCH(A4,Interviews!$A$2:$A$100,0)),"")</x:f>
        <x:v>Unknown</x:v>
      </x:c>
      <x:c r="M4" s="28" t="str">
        <x:f>IFERROR(INDEX(Interviews!$P$2:$P$100,MATCH(A4,Interviews!$A$2:$A$100,0)),"")</x:f>
        <x:v>Unknown</x:v>
      </x:c>
      <x:c r="N4" s="28" t="str">
        <x:f>IF(AND(D4="Yes",E4&gt;0,F4&gt;0,J4&gt;0),"USABLE","INCOMPLETE")</x:f>
        <x:v>INCOMPLETE</x:v>
      </x:c>
      <x:c r="O4" s="28" t="str"/>
      <x:c r="P4" s="28"/>
      <x:c r="Q4" s="28"/>
      <x:c r="R4" s="28"/>
      <x:c r="S4" s="28"/>
      <x:c r="T4" s="28"/>
      <x:c r="U4" s="28"/>
    </x:row>
    <x:row r="5">
      <x:c r="A5" s="28" t="str">
        <x:v>INT-004</x:v>
      </x:c>
      <x:c r="B5" s="28" t="str">
        <x:f>IFERROR(INDEX(Interviews!$C$2:$C$100,MATCH(A5,Interviews!$A$2:$A$100,0)),"")</x:f>
      </x:c>
      <x:c r="C5" s="28" t="str">
        <x:f>IFERROR(INDEX(Interviews!$E$2:$E$100,MATCH(A5,Interviews!$A$2:$A$100,0)),"")</x:f>
      </x:c>
      <x:c r="D5" s="28" t="str">
        <x:f>IFERROR(INDEX(Interviews!$G$2:$G$100,MATCH(A5,Interviews!$A$2:$A$100,0)),"")</x:f>
        <x:v>No</x:v>
      </x:c>
      <x:c r="E5" s="28" t="n">
        <x:f>COUNTIFS(Observations!$B$2:$B$100,A5,Observations!$S$2:$S$100,"Yes")</x:f>
        <x:v>0</x:v>
      </x:c>
      <x:c r="F5" s="28" t="n">
        <x:f>SUMIFS(Observations!$F$2:$F$100,Observations!$B$2:$B$100,A5,Observations!$S$2:$S$100,"Yes")</x:f>
        <x:v>0</x:v>
      </x:c>
      <x:c r="G5" s="32" t="n">
        <x:f>SUMIFS(Observations!$L$2:$L$100,Observations!$B$2:$B$100,A5,Observations!$S$2:$S$100,"Yes")/60</x:f>
        <x:v>0</x:v>
      </x:c>
      <x:c r="H5" s="32" t="n">
        <x:f>SUMIFS(Observations!$N$2:$N$100,Observations!$B$2:$B$100,A5,Observations!$S$2:$S$100,"Yes")/60</x:f>
        <x:v>0</x:v>
      </x:c>
      <x:c r="I5" s="32" t="str">
        <x:f>IF(F5&gt;0,G5/F5,"")</x:f>
      </x:c>
      <x:c r="J5" s="28" t="n">
        <x:f>COUNTIF(Errors!$B$2:$B$500,A5)</x:f>
        <x:v>0</x:v>
      </x:c>
      <x:c r="K5" s="28" t="n">
        <x:f>COUNTIFS(Errors!$B$2:$B$500,A5,Errors!$G$2:$G$500,"CRITICAL")+COUNTIFS(Errors!$B$2:$B$500,A5,Errors!$G$2:$G$500,"HIGH")</x:f>
        <x:v>0</x:v>
      </x:c>
      <x:c r="L5" s="28" t="str">
        <x:f>IFERROR(INDEX(Interviews!$O$2:$O$100,MATCH(A5,Interviews!$A$2:$A$100,0)),"")</x:f>
        <x:v>Unknown</x:v>
      </x:c>
      <x:c r="M5" s="28" t="str">
        <x:f>IFERROR(INDEX(Interviews!$P$2:$P$100,MATCH(A5,Interviews!$A$2:$A$100,0)),"")</x:f>
        <x:v>Unknown</x:v>
      </x:c>
      <x:c r="N5" s="28" t="str">
        <x:f>IF(AND(D5="Yes",E5&gt;0,F5&gt;0,J5&gt;0),"USABLE","INCOMPLETE")</x:f>
        <x:v>INCOMPLETE</x:v>
      </x:c>
      <x:c r="O5" s="28" t="str"/>
      <x:c r="P5" s="28"/>
      <x:c r="Q5" s="28"/>
      <x:c r="R5" s="28"/>
      <x:c r="S5" s="28"/>
      <x:c r="T5" s="28"/>
      <x:c r="U5" s="28"/>
    </x:row>
    <x:row r="6">
      <x:c r="A6" s="28" t="str">
        <x:v>INT-005</x:v>
      </x:c>
      <x:c r="B6" s="28" t="str">
        <x:f>IFERROR(INDEX(Interviews!$C$2:$C$100,MATCH(A6,Interviews!$A$2:$A$100,0)),"")</x:f>
      </x:c>
      <x:c r="C6" s="28" t="str">
        <x:f>IFERROR(INDEX(Interviews!$E$2:$E$100,MATCH(A6,Interviews!$A$2:$A$100,0)),"")</x:f>
      </x:c>
      <x:c r="D6" s="28" t="str">
        <x:f>IFERROR(INDEX(Interviews!$G$2:$G$100,MATCH(A6,Interviews!$A$2:$A$100,0)),"")</x:f>
        <x:v>No</x:v>
      </x:c>
      <x:c r="E6" s="28" t="n">
        <x:f>COUNTIFS(Observations!$B$2:$B$100,A6,Observations!$S$2:$S$100,"Yes")</x:f>
        <x:v>0</x:v>
      </x:c>
      <x:c r="F6" s="28" t="n">
        <x:f>SUMIFS(Observations!$F$2:$F$100,Observations!$B$2:$B$100,A6,Observations!$S$2:$S$100,"Yes")</x:f>
        <x:v>0</x:v>
      </x:c>
      <x:c r="G6" s="32" t="n">
        <x:f>SUMIFS(Observations!$L$2:$L$100,Observations!$B$2:$B$100,A6,Observations!$S$2:$S$100,"Yes")/60</x:f>
        <x:v>0</x:v>
      </x:c>
      <x:c r="H6" s="32" t="n">
        <x:f>SUMIFS(Observations!$N$2:$N$100,Observations!$B$2:$B$100,A6,Observations!$S$2:$S$100,"Yes")/60</x:f>
        <x:v>0</x:v>
      </x:c>
      <x:c r="I6" s="32" t="str">
        <x:f>IF(F6&gt;0,G6/F6,"")</x:f>
      </x:c>
      <x:c r="J6" s="28" t="n">
        <x:f>COUNTIF(Errors!$B$2:$B$500,A6)</x:f>
        <x:v>0</x:v>
      </x:c>
      <x:c r="K6" s="28" t="n">
        <x:f>COUNTIFS(Errors!$B$2:$B$500,A6,Errors!$G$2:$G$500,"CRITICAL")+COUNTIFS(Errors!$B$2:$B$500,A6,Errors!$G$2:$G$500,"HIGH")</x:f>
        <x:v>0</x:v>
      </x:c>
      <x:c r="L6" s="28" t="str">
        <x:f>IFERROR(INDEX(Interviews!$O$2:$O$100,MATCH(A6,Interviews!$A$2:$A$100,0)),"")</x:f>
        <x:v>Unknown</x:v>
      </x:c>
      <x:c r="M6" s="28" t="str">
        <x:f>IFERROR(INDEX(Interviews!$P$2:$P$100,MATCH(A6,Interviews!$A$2:$A$100,0)),"")</x:f>
        <x:v>Unknown</x:v>
      </x:c>
      <x:c r="N6" s="28" t="str">
        <x:f>IF(AND(D6="Yes",E6&gt;0,F6&gt;0,J6&gt;0),"USABLE","INCOMPLETE")</x:f>
        <x:v>INCOMPLETE</x:v>
      </x:c>
      <x:c r="O6" s="28" t="str"/>
      <x:c r="P6" s="28"/>
      <x:c r="Q6" s="28"/>
      <x:c r="R6" s="28"/>
      <x:c r="S6" s="28"/>
      <x:c r="T6" s="28"/>
      <x:c r="U6" s="28"/>
    </x:row>
    <x:row r="7">
      <x:c r="A7" s="28" t="str">
        <x:v>INT-006</x:v>
      </x:c>
      <x:c r="B7" s="28" t="str">
        <x:f>IFERROR(INDEX(Interviews!$C$2:$C$100,MATCH(A7,Interviews!$A$2:$A$100,0)),"")</x:f>
      </x:c>
      <x:c r="C7" s="28" t="str">
        <x:f>IFERROR(INDEX(Interviews!$E$2:$E$100,MATCH(A7,Interviews!$A$2:$A$100,0)),"")</x:f>
      </x:c>
      <x:c r="D7" s="28" t="str">
        <x:f>IFERROR(INDEX(Interviews!$G$2:$G$100,MATCH(A7,Interviews!$A$2:$A$100,0)),"")</x:f>
        <x:v>No</x:v>
      </x:c>
      <x:c r="E7" s="28" t="n">
        <x:f>COUNTIFS(Observations!$B$2:$B$100,A7,Observations!$S$2:$S$100,"Yes")</x:f>
        <x:v>0</x:v>
      </x:c>
      <x:c r="F7" s="28" t="n">
        <x:f>SUMIFS(Observations!$F$2:$F$100,Observations!$B$2:$B$100,A7,Observations!$S$2:$S$100,"Yes")</x:f>
        <x:v>0</x:v>
      </x:c>
      <x:c r="G7" s="32" t="n">
        <x:f>SUMIFS(Observations!$L$2:$L$100,Observations!$B$2:$B$100,A7,Observations!$S$2:$S$100,"Yes")/60</x:f>
        <x:v>0</x:v>
      </x:c>
      <x:c r="H7" s="32" t="n">
        <x:f>SUMIFS(Observations!$N$2:$N$100,Observations!$B$2:$B$100,A7,Observations!$S$2:$S$100,"Yes")/60</x:f>
        <x:v>0</x:v>
      </x:c>
      <x:c r="I7" s="32" t="str">
        <x:f>IF(F7&gt;0,G7/F7,"")</x:f>
      </x:c>
      <x:c r="J7" s="28" t="n">
        <x:f>COUNTIF(Errors!$B$2:$B$500,A7)</x:f>
        <x:v>0</x:v>
      </x:c>
      <x:c r="K7" s="28" t="n">
        <x:f>COUNTIFS(Errors!$B$2:$B$500,A7,Errors!$G$2:$G$500,"CRITICAL")+COUNTIFS(Errors!$B$2:$B$500,A7,Errors!$G$2:$G$500,"HIGH")</x:f>
        <x:v>0</x:v>
      </x:c>
      <x:c r="L7" s="28" t="str">
        <x:f>IFERROR(INDEX(Interviews!$O$2:$O$100,MATCH(A7,Interviews!$A$2:$A$100,0)),"")</x:f>
        <x:v>Unknown</x:v>
      </x:c>
      <x:c r="M7" s="28" t="str">
        <x:f>IFERROR(INDEX(Interviews!$P$2:$P$100,MATCH(A7,Interviews!$A$2:$A$100,0)),"")</x:f>
        <x:v>Unknown</x:v>
      </x:c>
      <x:c r="N7" s="28" t="str">
        <x:f>IF(AND(D7="Yes",E7&gt;0,F7&gt;0,J7&gt;0),"USABLE","INCOMPLETE")</x:f>
        <x:v>INCOMPLETE</x:v>
      </x:c>
      <x:c r="O7" s="28" t="str"/>
      <x:c r="P7" s="28"/>
      <x:c r="Q7" s="28"/>
      <x:c r="R7" s="28"/>
      <x:c r="S7" s="28"/>
      <x:c r="T7" s="28"/>
      <x:c r="U7" s="28"/>
    </x:row>
    <x:row r="8">
      <x:c r="A8" s="28" t="str">
        <x:v>INT-007</x:v>
      </x:c>
      <x:c r="B8" s="28" t="str">
        <x:f>IFERROR(INDEX(Interviews!$C$2:$C$100,MATCH(A8,Interviews!$A$2:$A$100,0)),"")</x:f>
      </x:c>
      <x:c r="C8" s="28" t="str">
        <x:f>IFERROR(INDEX(Interviews!$E$2:$E$100,MATCH(A8,Interviews!$A$2:$A$100,0)),"")</x:f>
      </x:c>
      <x:c r="D8" s="28" t="str">
        <x:f>IFERROR(INDEX(Interviews!$G$2:$G$100,MATCH(A8,Interviews!$A$2:$A$100,0)),"")</x:f>
        <x:v>No</x:v>
      </x:c>
      <x:c r="E8" s="28" t="n">
        <x:f>COUNTIFS(Observations!$B$2:$B$100,A8,Observations!$S$2:$S$100,"Yes")</x:f>
        <x:v>0</x:v>
      </x:c>
      <x:c r="F8" s="28" t="n">
        <x:f>SUMIFS(Observations!$F$2:$F$100,Observations!$B$2:$B$100,A8,Observations!$S$2:$S$100,"Yes")</x:f>
        <x:v>0</x:v>
      </x:c>
      <x:c r="G8" s="32" t="n">
        <x:f>SUMIFS(Observations!$L$2:$L$100,Observations!$B$2:$B$100,A8,Observations!$S$2:$S$100,"Yes")/60</x:f>
        <x:v>0</x:v>
      </x:c>
      <x:c r="H8" s="32" t="n">
        <x:f>SUMIFS(Observations!$N$2:$N$100,Observations!$B$2:$B$100,A8,Observations!$S$2:$S$100,"Yes")/60</x:f>
        <x:v>0</x:v>
      </x:c>
      <x:c r="I8" s="32" t="str">
        <x:f>IF(F8&gt;0,G8/F8,"")</x:f>
      </x:c>
      <x:c r="J8" s="28" t="n">
        <x:f>COUNTIF(Errors!$B$2:$B$500,A8)</x:f>
        <x:v>0</x:v>
      </x:c>
      <x:c r="K8" s="28" t="n">
        <x:f>COUNTIFS(Errors!$B$2:$B$500,A8,Errors!$G$2:$G$500,"CRITICAL")+COUNTIFS(Errors!$B$2:$B$500,A8,Errors!$G$2:$G$500,"HIGH")</x:f>
        <x:v>0</x:v>
      </x:c>
      <x:c r="L8" s="28" t="str">
        <x:f>IFERROR(INDEX(Interviews!$O$2:$O$100,MATCH(A8,Interviews!$A$2:$A$100,0)),"")</x:f>
        <x:v>Unknown</x:v>
      </x:c>
      <x:c r="M8" s="28" t="str">
        <x:f>IFERROR(INDEX(Interviews!$P$2:$P$100,MATCH(A8,Interviews!$A$2:$A$100,0)),"")</x:f>
        <x:v>Unknown</x:v>
      </x:c>
      <x:c r="N8" s="28" t="str">
        <x:f>IF(AND(D8="Yes",E8&gt;0,F8&gt;0,J8&gt;0),"USABLE","INCOMPLETE")</x:f>
        <x:v>INCOMPLETE</x:v>
      </x:c>
      <x:c r="O8" s="28" t="str"/>
      <x:c r="P8" s="28"/>
      <x:c r="Q8" s="28"/>
      <x:c r="R8" s="28"/>
      <x:c r="S8" s="28"/>
      <x:c r="T8" s="28"/>
      <x:c r="U8" s="28"/>
    </x:row>
    <x:row r="9">
      <x:c r="A9" s="28" t="str">
        <x:v>INT-008</x:v>
      </x:c>
      <x:c r="B9" s="28" t="str">
        <x:f>IFERROR(INDEX(Interviews!$C$2:$C$100,MATCH(A9,Interviews!$A$2:$A$100,0)),"")</x:f>
      </x:c>
      <x:c r="C9" s="28" t="str">
        <x:f>IFERROR(INDEX(Interviews!$E$2:$E$100,MATCH(A9,Interviews!$A$2:$A$100,0)),"")</x:f>
      </x:c>
      <x:c r="D9" s="28" t="str">
        <x:f>IFERROR(INDEX(Interviews!$G$2:$G$100,MATCH(A9,Interviews!$A$2:$A$100,0)),"")</x:f>
        <x:v>No</x:v>
      </x:c>
      <x:c r="E9" s="28" t="n">
        <x:f>COUNTIFS(Observations!$B$2:$B$100,A9,Observations!$S$2:$S$100,"Yes")</x:f>
        <x:v>0</x:v>
      </x:c>
      <x:c r="F9" s="28" t="n">
        <x:f>SUMIFS(Observations!$F$2:$F$100,Observations!$B$2:$B$100,A9,Observations!$S$2:$S$100,"Yes")</x:f>
        <x:v>0</x:v>
      </x:c>
      <x:c r="G9" s="32" t="n">
        <x:f>SUMIFS(Observations!$L$2:$L$100,Observations!$B$2:$B$100,A9,Observations!$S$2:$S$100,"Yes")/60</x:f>
        <x:v>0</x:v>
      </x:c>
      <x:c r="H9" s="32" t="n">
        <x:f>SUMIFS(Observations!$N$2:$N$100,Observations!$B$2:$B$100,A9,Observations!$S$2:$S$100,"Yes")/60</x:f>
        <x:v>0</x:v>
      </x:c>
      <x:c r="I9" s="32" t="str">
        <x:f>IF(F9&gt;0,G9/F9,"")</x:f>
      </x:c>
      <x:c r="J9" s="28" t="n">
        <x:f>COUNTIF(Errors!$B$2:$B$500,A9)</x:f>
        <x:v>0</x:v>
      </x:c>
      <x:c r="K9" s="28" t="n">
        <x:f>COUNTIFS(Errors!$B$2:$B$500,A9,Errors!$G$2:$G$500,"CRITICAL")+COUNTIFS(Errors!$B$2:$B$500,A9,Errors!$G$2:$G$500,"HIGH")</x:f>
        <x:v>0</x:v>
      </x:c>
      <x:c r="L9" s="28" t="str">
        <x:f>IFERROR(INDEX(Interviews!$O$2:$O$100,MATCH(A9,Interviews!$A$2:$A$100,0)),"")</x:f>
        <x:v>Unknown</x:v>
      </x:c>
      <x:c r="M9" s="28" t="str">
        <x:f>IFERROR(INDEX(Interviews!$P$2:$P$100,MATCH(A9,Interviews!$A$2:$A$100,0)),"")</x:f>
        <x:v>Unknown</x:v>
      </x:c>
      <x:c r="N9" s="28" t="str">
        <x:f>IF(AND(D9="Yes",E9&gt;0,F9&gt;0,J9&gt;0),"USABLE","INCOMPLETE")</x:f>
        <x:v>INCOMPLETE</x:v>
      </x:c>
      <x:c r="O9" s="28" t="str"/>
      <x:c r="P9" s="28"/>
      <x:c r="Q9" s="28"/>
      <x:c r="R9" s="28"/>
      <x:c r="S9" s="28"/>
      <x:c r="T9" s="28"/>
      <x:c r="U9" s="28"/>
    </x:row>
    <x:row r="10">
      <x:c r="A10" s="28" t="str">
        <x:v>INT-009</x:v>
      </x:c>
      <x:c r="B10" s="28" t="str">
        <x:f>IFERROR(INDEX(Interviews!$C$2:$C$100,MATCH(A10,Interviews!$A$2:$A$100,0)),"")</x:f>
      </x:c>
      <x:c r="C10" s="28" t="str">
        <x:f>IFERROR(INDEX(Interviews!$E$2:$E$100,MATCH(A10,Interviews!$A$2:$A$100,0)),"")</x:f>
      </x:c>
      <x:c r="D10" s="28" t="str">
        <x:f>IFERROR(INDEX(Interviews!$G$2:$G$100,MATCH(A10,Interviews!$A$2:$A$100,0)),"")</x:f>
        <x:v>No</x:v>
      </x:c>
      <x:c r="E10" s="28" t="n">
        <x:f>COUNTIFS(Observations!$B$2:$B$100,A10,Observations!$S$2:$S$100,"Yes")</x:f>
        <x:v>0</x:v>
      </x:c>
      <x:c r="F10" s="28" t="n">
        <x:f>SUMIFS(Observations!$F$2:$F$100,Observations!$B$2:$B$100,A10,Observations!$S$2:$S$100,"Yes")</x:f>
        <x:v>0</x:v>
      </x:c>
      <x:c r="G10" s="32" t="n">
        <x:f>SUMIFS(Observations!$L$2:$L$100,Observations!$B$2:$B$100,A10,Observations!$S$2:$S$100,"Yes")/60</x:f>
        <x:v>0</x:v>
      </x:c>
      <x:c r="H10" s="32" t="n">
        <x:f>SUMIFS(Observations!$N$2:$N$100,Observations!$B$2:$B$100,A10,Observations!$S$2:$S$100,"Yes")/60</x:f>
        <x:v>0</x:v>
      </x:c>
      <x:c r="I10" s="32" t="str">
        <x:f>IF(F10&gt;0,G10/F10,"")</x:f>
      </x:c>
      <x:c r="J10" s="28" t="n">
        <x:f>COUNTIF(Errors!$B$2:$B$500,A10)</x:f>
        <x:v>0</x:v>
      </x:c>
      <x:c r="K10" s="28" t="n">
        <x:f>COUNTIFS(Errors!$B$2:$B$500,A10,Errors!$G$2:$G$500,"CRITICAL")+COUNTIFS(Errors!$B$2:$B$500,A10,Errors!$G$2:$G$500,"HIGH")</x:f>
        <x:v>0</x:v>
      </x:c>
      <x:c r="L10" s="28" t="str">
        <x:f>IFERROR(INDEX(Interviews!$O$2:$O$100,MATCH(A10,Interviews!$A$2:$A$100,0)),"")</x:f>
        <x:v>Unknown</x:v>
      </x:c>
      <x:c r="M10" s="28" t="str">
        <x:f>IFERROR(INDEX(Interviews!$P$2:$P$100,MATCH(A10,Interviews!$A$2:$A$100,0)),"")</x:f>
        <x:v>Unknown</x:v>
      </x:c>
      <x:c r="N10" s="28" t="str">
        <x:f>IF(AND(D10="Yes",E10&gt;0,F10&gt;0,J10&gt;0),"USABLE","INCOMPLETE")</x:f>
        <x:v>INCOMPLETE</x:v>
      </x:c>
      <x:c r="O10" s="28" t="str"/>
      <x:c r="P10" s="28"/>
      <x:c r="Q10" s="28"/>
      <x:c r="R10" s="28"/>
      <x:c r="S10" s="28"/>
      <x:c r="T10" s="28"/>
      <x:c r="U10" s="28"/>
    </x:row>
    <x:row r="11">
      <x:c r="A11" s="28" t="str">
        <x:v>INT-010</x:v>
      </x:c>
      <x:c r="B11" s="28" t="str">
        <x:f>IFERROR(INDEX(Interviews!$C$2:$C$100,MATCH(A11,Interviews!$A$2:$A$100,0)),"")</x:f>
      </x:c>
      <x:c r="C11" s="28" t="str">
        <x:f>IFERROR(INDEX(Interviews!$E$2:$E$100,MATCH(A11,Interviews!$A$2:$A$100,0)),"")</x:f>
      </x:c>
      <x:c r="D11" s="28" t="str">
        <x:f>IFERROR(INDEX(Interviews!$G$2:$G$100,MATCH(A11,Interviews!$A$2:$A$100,0)),"")</x:f>
        <x:v>No</x:v>
      </x:c>
      <x:c r="E11" s="28" t="n">
        <x:f>COUNTIFS(Observations!$B$2:$B$100,A11,Observations!$S$2:$S$100,"Yes")</x:f>
        <x:v>0</x:v>
      </x:c>
      <x:c r="F11" s="28" t="n">
        <x:f>SUMIFS(Observations!$F$2:$F$100,Observations!$B$2:$B$100,A11,Observations!$S$2:$S$100,"Yes")</x:f>
        <x:v>0</x:v>
      </x:c>
      <x:c r="G11" s="32" t="n">
        <x:f>SUMIFS(Observations!$L$2:$L$100,Observations!$B$2:$B$100,A11,Observations!$S$2:$S$100,"Yes")/60</x:f>
        <x:v>0</x:v>
      </x:c>
      <x:c r="H11" s="32" t="n">
        <x:f>SUMIFS(Observations!$N$2:$N$100,Observations!$B$2:$B$100,A11,Observations!$S$2:$S$100,"Yes")/60</x:f>
        <x:v>0</x:v>
      </x:c>
      <x:c r="I11" s="32" t="str">
        <x:f>IF(F11&gt;0,G11/F11,"")</x:f>
      </x:c>
      <x:c r="J11" s="28" t="n">
        <x:f>COUNTIF(Errors!$B$2:$B$500,A11)</x:f>
        <x:v>0</x:v>
      </x:c>
      <x:c r="K11" s="28" t="n">
        <x:f>COUNTIFS(Errors!$B$2:$B$500,A11,Errors!$G$2:$G$500,"CRITICAL")+COUNTIFS(Errors!$B$2:$B$500,A11,Errors!$G$2:$G$500,"HIGH")</x:f>
        <x:v>0</x:v>
      </x:c>
      <x:c r="L11" s="28" t="str">
        <x:f>IFERROR(INDEX(Interviews!$O$2:$O$100,MATCH(A11,Interviews!$A$2:$A$100,0)),"")</x:f>
        <x:v>Unknown</x:v>
      </x:c>
      <x:c r="M11" s="28" t="str">
        <x:f>IFERROR(INDEX(Interviews!$P$2:$P$100,MATCH(A11,Interviews!$A$2:$A$100,0)),"")</x:f>
        <x:v>Unknown</x:v>
      </x:c>
      <x:c r="N11" s="28" t="str">
        <x:f>IF(AND(D11="Yes",E11&gt;0,F11&gt;0,J11&gt;0),"USABLE","INCOMPLETE")</x:f>
        <x:v>INCOMPLETE</x:v>
      </x:c>
      <x:c r="O11" s="28" t="str"/>
      <x:c r="P11" s="28"/>
      <x:c r="Q11" s="28"/>
      <x:c r="R11" s="28"/>
      <x:c r="S11" s="28"/>
      <x:c r="T11" s="28"/>
      <x:c r="U11" s="28"/>
    </x:row>
    <x:row r="12">
      <x:c r="A12" s="28"/>
      <x:c r="B12" s="28"/>
      <x:c r="C12" s="28"/>
      <x:c r="D12" s="28"/>
      <x:c r="E12" s="28"/>
      <x:c r="F12" s="28"/>
      <x:c r="G12" s="32"/>
      <x:c r="H12" s="32"/>
      <x:c r="I12" s="32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</x:row>
    <x:row r="13">
      <x:c r="A13" s="28"/>
      <x:c r="B13" s="28"/>
      <x:c r="C13" s="28"/>
      <x:c r="D13" s="28"/>
      <x:c r="E13" s="28"/>
      <x:c r="F13" s="28"/>
      <x:c r="G13" s="32"/>
      <x:c r="H13" s="32"/>
      <x:c r="I13" s="32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</x:row>
    <x:row r="14">
      <x:c r="A14" s="28"/>
      <x:c r="B14" s="28"/>
      <x:c r="C14" s="28"/>
      <x:c r="D14" s="28"/>
      <x:c r="E14" s="28"/>
      <x:c r="F14" s="28"/>
      <x:c r="G14" s="32"/>
      <x:c r="H14" s="32"/>
      <x:c r="I14" s="32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</x:row>
    <x:row r="15">
      <x:c r="A15" s="28"/>
      <x:c r="B15" s="28"/>
      <x:c r="C15" s="28"/>
      <x:c r="D15" s="28"/>
      <x:c r="E15" s="28"/>
      <x:c r="F15" s="28"/>
      <x:c r="G15" s="32"/>
      <x:c r="H15" s="32"/>
      <x:c r="I15" s="32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</x:row>
    <x:row r="16">
      <x:c r="A16" s="28"/>
      <x:c r="B16" s="28"/>
      <x:c r="C16" s="28"/>
      <x:c r="D16" s="28"/>
      <x:c r="E16" s="28"/>
      <x:c r="F16" s="28"/>
      <x:c r="G16" s="32"/>
      <x:c r="H16" s="32"/>
      <x:c r="I16" s="32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</x:row>
    <x:row r="17">
      <x:c r="A17" s="28"/>
      <x:c r="B17" s="28"/>
      <x:c r="C17" s="28"/>
      <x:c r="D17" s="28"/>
      <x:c r="E17" s="28"/>
      <x:c r="F17" s="28"/>
      <x:c r="G17" s="32"/>
      <x:c r="H17" s="32"/>
      <x:c r="I17" s="32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</x:row>
    <x:row r="18">
      <x:c r="A18" s="28"/>
      <x:c r="B18" s="28"/>
      <x:c r="C18" s="28"/>
      <x:c r="D18" s="28"/>
      <x:c r="E18" s="28"/>
      <x:c r="F18" s="28"/>
      <x:c r="G18" s="32"/>
      <x:c r="H18" s="32"/>
      <x:c r="I18" s="32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</x:row>
    <x:row r="19">
      <x:c r="A19" s="28"/>
      <x:c r="B19" s="28"/>
      <x:c r="C19" s="28"/>
      <x:c r="D19" s="28"/>
      <x:c r="E19" s="28"/>
      <x:c r="F19" s="28"/>
      <x:c r="G19" s="32"/>
      <x:c r="H19" s="32"/>
      <x:c r="I19" s="32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</x:row>
    <x:row r="20">
      <x:c r="A20" s="28"/>
      <x:c r="B20" s="28"/>
      <x:c r="C20" s="28"/>
      <x:c r="D20" s="28"/>
      <x:c r="E20" s="28"/>
      <x:c r="F20" s="28"/>
      <x:c r="G20" s="32"/>
      <x:c r="H20" s="32"/>
      <x:c r="I20" s="32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</x:row>
    <x:row r="21">
      <x:c r="A21" s="28"/>
      <x:c r="B21" s="28"/>
      <x:c r="C21" s="28"/>
      <x:c r="D21" s="28"/>
      <x:c r="E21" s="28"/>
      <x:c r="F21" s="28"/>
      <x:c r="G21" s="32"/>
      <x:c r="H21" s="32"/>
      <x:c r="I21" s="32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</x:row>
    <x:row r="22">
      <x:c r="A22" s="28"/>
      <x:c r="B22" s="28"/>
      <x:c r="C22" s="28"/>
      <x:c r="D22" s="28"/>
      <x:c r="E22" s="28"/>
      <x:c r="F22" s="28"/>
      <x:c r="G22" s="32"/>
      <x:c r="H22" s="32"/>
      <x:c r="I22" s="32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</x:row>
    <x:row r="23">
      <x:c r="A23" s="28"/>
      <x:c r="B23" s="28"/>
      <x:c r="C23" s="28"/>
      <x:c r="D23" s="28"/>
      <x:c r="E23" s="28"/>
      <x:c r="F23" s="28"/>
      <x:c r="G23" s="32"/>
      <x:c r="H23" s="32"/>
      <x:c r="I23" s="32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</x:row>
    <x:row r="24">
      <x:c r="A24" s="28"/>
      <x:c r="B24" s="28"/>
      <x:c r="C24" s="28"/>
      <x:c r="D24" s="28"/>
      <x:c r="E24" s="28"/>
      <x:c r="F24" s="28"/>
      <x:c r="G24" s="32"/>
      <x:c r="H24" s="32"/>
      <x:c r="I24" s="32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</x:row>
    <x:row r="25">
      <x:c r="A25" s="28"/>
      <x:c r="B25" s="28"/>
      <x:c r="C25" s="28"/>
      <x:c r="D25" s="28"/>
      <x:c r="E25" s="28"/>
      <x:c r="F25" s="28"/>
      <x:c r="G25" s="32"/>
      <x:c r="H25" s="32"/>
      <x:c r="I25" s="32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</x:row>
    <x:row r="26">
      <x:c r="A26" s="28"/>
      <x:c r="B26" s="28"/>
      <x:c r="C26" s="28"/>
      <x:c r="D26" s="28"/>
      <x:c r="E26" s="28"/>
      <x:c r="F26" s="28"/>
      <x:c r="G26" s="32"/>
      <x:c r="H26" s="32"/>
      <x:c r="I26" s="32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</x:row>
    <x:row r="27">
      <x:c r="A27" s="28"/>
      <x:c r="B27" s="28"/>
      <x:c r="C27" s="28"/>
      <x:c r="D27" s="28"/>
      <x:c r="E27" s="28"/>
      <x:c r="F27" s="28"/>
      <x:c r="G27" s="32"/>
      <x:c r="H27" s="32"/>
      <x:c r="I27" s="32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</x:row>
    <x:row r="28">
      <x:c r="A28" s="28"/>
      <x:c r="B28" s="28"/>
      <x:c r="C28" s="28"/>
      <x:c r="D28" s="28"/>
      <x:c r="E28" s="28"/>
      <x:c r="F28" s="28"/>
      <x:c r="G28" s="32"/>
      <x:c r="H28" s="32"/>
      <x:c r="I28" s="32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</x:row>
    <x:row r="29">
      <x:c r="A29" s="28"/>
      <x:c r="B29" s="28"/>
      <x:c r="C29" s="28"/>
      <x:c r="D29" s="28"/>
      <x:c r="E29" s="28"/>
      <x:c r="F29" s="28"/>
      <x:c r="G29" s="32"/>
      <x:c r="H29" s="32"/>
      <x:c r="I29" s="32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</x:row>
    <x:row r="30">
      <x:c r="A30" s="28"/>
      <x:c r="B30" s="28"/>
      <x:c r="C30" s="28"/>
      <x:c r="D30" s="28"/>
      <x:c r="E30" s="28"/>
      <x:c r="F30" s="28"/>
      <x:c r="G30" s="32"/>
      <x:c r="H30" s="32"/>
      <x:c r="I30" s="32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</x:row>
    <x:row r="31">
      <x:c r="A31" s="28"/>
      <x:c r="B31" s="28"/>
      <x:c r="C31" s="28"/>
      <x:c r="D31" s="28"/>
      <x:c r="E31" s="28"/>
      <x:c r="F31" s="28"/>
      <x:c r="G31" s="32"/>
      <x:c r="H31" s="32"/>
      <x:c r="I31" s="32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</x:row>
    <x:row r="32">
      <x:c r="A32" s="28"/>
      <x:c r="B32" s="28"/>
      <x:c r="C32" s="28"/>
      <x:c r="D32" s="28"/>
      <x:c r="E32" s="28"/>
      <x:c r="F32" s="28"/>
      <x:c r="G32" s="32"/>
      <x:c r="H32" s="32"/>
      <x:c r="I32" s="32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</x:row>
    <x:row r="33">
      <x:c r="A33" s="28"/>
      <x:c r="B33" s="28"/>
      <x:c r="C33" s="28"/>
      <x:c r="D33" s="28"/>
      <x:c r="E33" s="28"/>
      <x:c r="F33" s="28"/>
      <x:c r="G33" s="32"/>
      <x:c r="H33" s="32"/>
      <x:c r="I33" s="32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</x:row>
    <x:row r="34">
      <x:c r="A34" s="28"/>
      <x:c r="B34" s="28"/>
      <x:c r="C34" s="28"/>
      <x:c r="D34" s="28"/>
      <x:c r="E34" s="28"/>
      <x:c r="F34" s="28"/>
      <x:c r="G34" s="32"/>
      <x:c r="H34" s="32"/>
      <x:c r="I34" s="32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</x:row>
    <x:row r="35">
      <x:c r="A35" s="28"/>
      <x:c r="B35" s="28"/>
      <x:c r="C35" s="28"/>
      <x:c r="D35" s="28"/>
      <x:c r="E35" s="28"/>
      <x:c r="F35" s="28"/>
      <x:c r="G35" s="32"/>
      <x:c r="H35" s="32"/>
      <x:c r="I35" s="32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</x:row>
    <x:row r="36">
      <x:c r="A36" s="28"/>
      <x:c r="B36" s="28"/>
      <x:c r="C36" s="28"/>
      <x:c r="D36" s="28"/>
      <x:c r="E36" s="28"/>
      <x:c r="F36" s="28"/>
      <x:c r="G36" s="32"/>
      <x:c r="H36" s="32"/>
      <x:c r="I36" s="32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</x:row>
    <x:row r="37">
      <x:c r="A37" s="28"/>
      <x:c r="B37" s="28"/>
      <x:c r="C37" s="28"/>
      <x:c r="D37" s="28"/>
      <x:c r="E37" s="28"/>
      <x:c r="F37" s="28"/>
      <x:c r="G37" s="32"/>
      <x:c r="H37" s="32"/>
      <x:c r="I37" s="32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</x:row>
    <x:row r="38">
      <x:c r="A38" s="28"/>
      <x:c r="B38" s="28"/>
      <x:c r="C38" s="28"/>
      <x:c r="D38" s="28"/>
      <x:c r="E38" s="28"/>
      <x:c r="F38" s="28"/>
      <x:c r="G38" s="32"/>
      <x:c r="H38" s="32"/>
      <x:c r="I38" s="32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</x:row>
    <x:row r="39">
      <x:c r="A39" s="28"/>
      <x:c r="B39" s="28"/>
      <x:c r="C39" s="28"/>
      <x:c r="D39" s="28"/>
      <x:c r="E39" s="28"/>
      <x:c r="F39" s="28"/>
      <x:c r="G39" s="32"/>
      <x:c r="H39" s="32"/>
      <x:c r="I39" s="32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</x:row>
    <x:row r="40">
      <x:c r="A40" s="28"/>
      <x:c r="B40" s="28"/>
      <x:c r="C40" s="28"/>
      <x:c r="D40" s="28"/>
      <x:c r="E40" s="28"/>
      <x:c r="F40" s="28"/>
      <x:c r="G40" s="32"/>
      <x:c r="H40" s="32"/>
      <x:c r="I40" s="32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</x:row>
    <x:row r="41">
      <x:c r="A41" s="28"/>
      <x:c r="B41" s="28"/>
      <x:c r="C41" s="28"/>
      <x:c r="D41" s="28"/>
      <x:c r="E41" s="28"/>
      <x:c r="F41" s="28"/>
      <x:c r="G41" s="32"/>
      <x:c r="H41" s="32"/>
      <x:c r="I41" s="32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</x:row>
    <x:row r="42">
      <x:c r="A42" s="28"/>
      <x:c r="B42" s="28"/>
      <x:c r="C42" s="28"/>
      <x:c r="D42" s="28"/>
      <x:c r="E42" s="28"/>
      <x:c r="F42" s="28"/>
      <x:c r="G42" s="32"/>
      <x:c r="H42" s="32"/>
      <x:c r="I42" s="32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</x:row>
    <x:row r="43">
      <x:c r="A43" s="28"/>
      <x:c r="B43" s="28"/>
      <x:c r="C43" s="28"/>
      <x:c r="D43" s="28"/>
      <x:c r="E43" s="28"/>
      <x:c r="F43" s="28"/>
      <x:c r="G43" s="32"/>
      <x:c r="H43" s="32"/>
      <x:c r="I43" s="32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</x:row>
    <x:row r="44">
      <x:c r="A44" s="28"/>
      <x:c r="B44" s="28"/>
      <x:c r="C44" s="28"/>
      <x:c r="D44" s="28"/>
      <x:c r="E44" s="28"/>
      <x:c r="F44" s="28"/>
      <x:c r="G44" s="32"/>
      <x:c r="H44" s="32"/>
      <x:c r="I44" s="32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</x:row>
    <x:row r="45">
      <x:c r="A45" s="28"/>
      <x:c r="B45" s="28"/>
      <x:c r="C45" s="28"/>
      <x:c r="D45" s="28"/>
      <x:c r="E45" s="28"/>
      <x:c r="F45" s="28"/>
      <x:c r="G45" s="32"/>
      <x:c r="H45" s="32"/>
      <x:c r="I45" s="32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</x:row>
    <x:row r="46">
      <x:c r="A46" s="28"/>
      <x:c r="B46" s="28"/>
      <x:c r="C46" s="28"/>
      <x:c r="D46" s="28"/>
      <x:c r="E46" s="28"/>
      <x:c r="F46" s="28"/>
      <x:c r="G46" s="32"/>
      <x:c r="H46" s="32"/>
      <x:c r="I46" s="32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</x:row>
    <x:row r="47">
      <x:c r="A47" s="28"/>
      <x:c r="B47" s="28"/>
      <x:c r="C47" s="28"/>
      <x:c r="D47" s="28"/>
      <x:c r="E47" s="28"/>
      <x:c r="F47" s="28"/>
      <x:c r="G47" s="32"/>
      <x:c r="H47" s="32"/>
      <x:c r="I47" s="32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</x:row>
    <x:row r="48">
      <x:c r="A48" s="28"/>
      <x:c r="B48" s="28"/>
      <x:c r="C48" s="28"/>
      <x:c r="D48" s="28"/>
      <x:c r="E48" s="28"/>
      <x:c r="F48" s="28"/>
      <x:c r="G48" s="32"/>
      <x:c r="H48" s="32"/>
      <x:c r="I48" s="32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</x:row>
    <x:row r="49">
      <x:c r="A49" s="28"/>
      <x:c r="B49" s="28"/>
      <x:c r="C49" s="28"/>
      <x:c r="D49" s="28"/>
      <x:c r="E49" s="28"/>
      <x:c r="F49" s="28"/>
      <x:c r="G49" s="32"/>
      <x:c r="H49" s="32"/>
      <x:c r="I49" s="32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</x:row>
    <x:row r="50">
      <x:c r="A50" s="28"/>
      <x:c r="B50" s="28"/>
      <x:c r="C50" s="28"/>
      <x:c r="D50" s="28"/>
      <x:c r="E50" s="28"/>
      <x:c r="F50" s="28"/>
      <x:c r="G50" s="32"/>
      <x:c r="H50" s="32"/>
      <x:c r="I50" s="32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</x:row>
    <x:row r="51">
      <x:c r="A51" s="28"/>
      <x:c r="B51" s="28"/>
      <x:c r="C51" s="28"/>
      <x:c r="D51" s="28"/>
      <x:c r="E51" s="28"/>
      <x:c r="F51" s="28"/>
      <x:c r="G51" s="32"/>
      <x:c r="H51" s="32"/>
      <x:c r="I51" s="32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</x:row>
    <x:row r="52">
      <x:c r="A52" s="28"/>
      <x:c r="B52" s="28"/>
      <x:c r="C52" s="28"/>
      <x:c r="D52" s="28"/>
      <x:c r="E52" s="28"/>
      <x:c r="F52" s="28"/>
      <x:c r="G52" s="32"/>
      <x:c r="H52" s="32"/>
      <x:c r="I52" s="32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</x:row>
    <x:row r="53">
      <x:c r="A53" s="28"/>
      <x:c r="B53" s="28"/>
      <x:c r="C53" s="28"/>
      <x:c r="D53" s="28"/>
      <x:c r="E53" s="28"/>
      <x:c r="F53" s="28"/>
      <x:c r="G53" s="32"/>
      <x:c r="H53" s="32"/>
      <x:c r="I53" s="32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</x:row>
    <x:row r="54">
      <x:c r="A54" s="28"/>
      <x:c r="B54" s="28"/>
      <x:c r="C54" s="28"/>
      <x:c r="D54" s="28"/>
      <x:c r="E54" s="28"/>
      <x:c r="F54" s="28"/>
      <x:c r="G54" s="32"/>
      <x:c r="H54" s="32"/>
      <x:c r="I54" s="32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</x:row>
    <x:row r="55">
      <x:c r="A55" s="28"/>
      <x:c r="B55" s="28"/>
      <x:c r="C55" s="28"/>
      <x:c r="D55" s="28"/>
      <x:c r="E55" s="28"/>
      <x:c r="F55" s="28"/>
      <x:c r="G55" s="32"/>
      <x:c r="H55" s="32"/>
      <x:c r="I55" s="32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</x:row>
    <x:row r="56">
      <x:c r="A56" s="28"/>
      <x:c r="B56" s="28"/>
      <x:c r="C56" s="28"/>
      <x:c r="D56" s="28"/>
      <x:c r="E56" s="28"/>
      <x:c r="F56" s="28"/>
      <x:c r="G56" s="32"/>
      <x:c r="H56" s="32"/>
      <x:c r="I56" s="32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</x:row>
    <x:row r="57">
      <x:c r="A57" s="28"/>
      <x:c r="B57" s="28"/>
      <x:c r="C57" s="28"/>
      <x:c r="D57" s="28"/>
      <x:c r="E57" s="28"/>
      <x:c r="F57" s="28"/>
      <x:c r="G57" s="32"/>
      <x:c r="H57" s="32"/>
      <x:c r="I57" s="32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</x:row>
    <x:row r="58">
      <x:c r="A58" s="28"/>
      <x:c r="B58" s="28"/>
      <x:c r="C58" s="28"/>
      <x:c r="D58" s="28"/>
      <x:c r="E58" s="28"/>
      <x:c r="F58" s="28"/>
      <x:c r="G58" s="32"/>
      <x:c r="H58" s="32"/>
      <x:c r="I58" s="32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</x:row>
    <x:row r="59">
      <x:c r="A59" s="28"/>
      <x:c r="B59" s="28"/>
      <x:c r="C59" s="28"/>
      <x:c r="D59" s="28"/>
      <x:c r="E59" s="28"/>
      <x:c r="F59" s="28"/>
      <x:c r="G59" s="32"/>
      <x:c r="H59" s="32"/>
      <x:c r="I59" s="32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</x:row>
    <x:row r="60">
      <x:c r="A60" s="28"/>
      <x:c r="B60" s="28"/>
      <x:c r="C60" s="28"/>
      <x:c r="D60" s="28"/>
      <x:c r="E60" s="28"/>
      <x:c r="F60" s="28"/>
      <x:c r="G60" s="32"/>
      <x:c r="H60" s="32"/>
      <x:c r="I60" s="32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</x:row>
    <x:row r="61">
      <x:c r="A61" s="28"/>
      <x:c r="B61" s="28"/>
      <x:c r="C61" s="28"/>
      <x:c r="D61" s="28"/>
      <x:c r="E61" s="28"/>
      <x:c r="F61" s="28"/>
      <x:c r="G61" s="32"/>
      <x:c r="H61" s="32"/>
      <x:c r="I61" s="32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</x:row>
    <x:row r="62">
      <x:c r="A62" s="28"/>
      <x:c r="B62" s="28"/>
      <x:c r="C62" s="28"/>
      <x:c r="D62" s="28"/>
      <x:c r="E62" s="28"/>
      <x:c r="F62" s="28"/>
      <x:c r="G62" s="32"/>
      <x:c r="H62" s="32"/>
      <x:c r="I62" s="32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</x:row>
    <x:row r="63">
      <x:c r="A63" s="28"/>
      <x:c r="B63" s="28"/>
      <x:c r="C63" s="28"/>
      <x:c r="D63" s="28"/>
      <x:c r="E63" s="28"/>
      <x:c r="F63" s="28"/>
      <x:c r="G63" s="32"/>
      <x:c r="H63" s="32"/>
      <x:c r="I63" s="32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</x:row>
    <x:row r="64">
      <x:c r="A64" s="28"/>
      <x:c r="B64" s="28"/>
      <x:c r="C64" s="28"/>
      <x:c r="D64" s="28"/>
      <x:c r="E64" s="28"/>
      <x:c r="F64" s="28"/>
      <x:c r="G64" s="32"/>
      <x:c r="H64" s="32"/>
      <x:c r="I64" s="32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</x:row>
    <x:row r="65">
      <x:c r="A65" s="28"/>
      <x:c r="B65" s="28"/>
      <x:c r="C65" s="28"/>
      <x:c r="D65" s="28"/>
      <x:c r="E65" s="28"/>
      <x:c r="F65" s="28"/>
      <x:c r="G65" s="32"/>
      <x:c r="H65" s="32"/>
      <x:c r="I65" s="32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</x:row>
    <x:row r="66">
      <x:c r="A66" s="28"/>
      <x:c r="B66" s="28"/>
      <x:c r="C66" s="28"/>
      <x:c r="D66" s="28"/>
      <x:c r="E66" s="28"/>
      <x:c r="F66" s="28"/>
      <x:c r="G66" s="32"/>
      <x:c r="H66" s="32"/>
      <x:c r="I66" s="32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</x:row>
    <x:row r="67">
      <x:c r="A67" s="28"/>
      <x:c r="B67" s="28"/>
      <x:c r="C67" s="28"/>
      <x:c r="D67" s="28"/>
      <x:c r="E67" s="28"/>
      <x:c r="F67" s="28"/>
      <x:c r="G67" s="32"/>
      <x:c r="H67" s="32"/>
      <x:c r="I67" s="32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</x:row>
    <x:row r="68">
      <x:c r="A68" s="28"/>
      <x:c r="B68" s="28"/>
      <x:c r="C68" s="28"/>
      <x:c r="D68" s="28"/>
      <x:c r="E68" s="28"/>
      <x:c r="F68" s="28"/>
      <x:c r="G68" s="32"/>
      <x:c r="H68" s="32"/>
      <x:c r="I68" s="32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</x:row>
    <x:row r="69">
      <x:c r="A69" s="28"/>
      <x:c r="B69" s="28"/>
      <x:c r="C69" s="28"/>
      <x:c r="D69" s="28"/>
      <x:c r="E69" s="28"/>
      <x:c r="F69" s="28"/>
      <x:c r="G69" s="32"/>
      <x:c r="H69" s="32"/>
      <x:c r="I69" s="32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</x:row>
    <x:row r="70">
      <x:c r="A70" s="28"/>
      <x:c r="B70" s="28"/>
      <x:c r="C70" s="28"/>
      <x:c r="D70" s="28"/>
      <x:c r="E70" s="28"/>
      <x:c r="F70" s="28"/>
      <x:c r="G70" s="32"/>
      <x:c r="H70" s="32"/>
      <x:c r="I70" s="32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</x:row>
    <x:row r="71">
      <x:c r="A71" s="28"/>
      <x:c r="B71" s="28"/>
      <x:c r="C71" s="28"/>
      <x:c r="D71" s="28"/>
      <x:c r="E71" s="28"/>
      <x:c r="F71" s="28"/>
      <x:c r="G71" s="32"/>
      <x:c r="H71" s="32"/>
      <x:c r="I71" s="32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</x:row>
    <x:row r="72">
      <x:c r="A72" s="28"/>
      <x:c r="B72" s="28"/>
      <x:c r="C72" s="28"/>
      <x:c r="D72" s="28"/>
      <x:c r="E72" s="28"/>
      <x:c r="F72" s="28"/>
      <x:c r="G72" s="32"/>
      <x:c r="H72" s="32"/>
      <x:c r="I72" s="32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</x:row>
    <x:row r="73">
      <x:c r="A73" s="28"/>
      <x:c r="B73" s="28"/>
      <x:c r="C73" s="28"/>
      <x:c r="D73" s="28"/>
      <x:c r="E73" s="28"/>
      <x:c r="F73" s="28"/>
      <x:c r="G73" s="32"/>
      <x:c r="H73" s="32"/>
      <x:c r="I73" s="32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</x:row>
    <x:row r="74">
      <x:c r="A74" s="28"/>
      <x:c r="B74" s="28"/>
      <x:c r="C74" s="28"/>
      <x:c r="D74" s="28"/>
      <x:c r="E74" s="28"/>
      <x:c r="F74" s="28"/>
      <x:c r="G74" s="32"/>
      <x:c r="H74" s="32"/>
      <x:c r="I74" s="32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</x:row>
    <x:row r="75">
      <x:c r="A75" s="28"/>
      <x:c r="B75" s="28"/>
      <x:c r="C75" s="28"/>
      <x:c r="D75" s="28"/>
      <x:c r="E75" s="28"/>
      <x:c r="F75" s="28"/>
      <x:c r="G75" s="32"/>
      <x:c r="H75" s="32"/>
      <x:c r="I75" s="32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</x:row>
    <x:row r="76">
      <x:c r="A76" s="28"/>
      <x:c r="B76" s="28"/>
      <x:c r="C76" s="28"/>
      <x:c r="D76" s="28"/>
      <x:c r="E76" s="28"/>
      <x:c r="F76" s="28"/>
      <x:c r="G76" s="32"/>
      <x:c r="H76" s="32"/>
      <x:c r="I76" s="32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</x:row>
    <x:row r="77">
      <x:c r="A77" s="28"/>
      <x:c r="B77" s="28"/>
      <x:c r="C77" s="28"/>
      <x:c r="D77" s="28"/>
      <x:c r="E77" s="28"/>
      <x:c r="F77" s="28"/>
      <x:c r="G77" s="32"/>
      <x:c r="H77" s="32"/>
      <x:c r="I77" s="32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</x:row>
    <x:row r="78">
      <x:c r="A78" s="28"/>
      <x:c r="B78" s="28"/>
      <x:c r="C78" s="28"/>
      <x:c r="D78" s="28"/>
      <x:c r="E78" s="28"/>
      <x:c r="F78" s="28"/>
      <x:c r="G78" s="32"/>
      <x:c r="H78" s="32"/>
      <x:c r="I78" s="32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</x:row>
    <x:row r="79">
      <x:c r="A79" s="28"/>
      <x:c r="B79" s="28"/>
      <x:c r="C79" s="28"/>
      <x:c r="D79" s="28"/>
      <x:c r="E79" s="28"/>
      <x:c r="F79" s="28"/>
      <x:c r="G79" s="32"/>
      <x:c r="H79" s="32"/>
      <x:c r="I79" s="32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</x:row>
    <x:row r="80">
      <x:c r="A80" s="28"/>
      <x:c r="B80" s="28"/>
      <x:c r="C80" s="28"/>
      <x:c r="D80" s="28"/>
      <x:c r="E80" s="28"/>
      <x:c r="F80" s="28"/>
      <x:c r="G80" s="32"/>
      <x:c r="H80" s="32"/>
      <x:c r="I80" s="32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</x:row>
    <x:row r="81">
      <x:c r="A81" s="28"/>
      <x:c r="B81" s="28"/>
      <x:c r="C81" s="28"/>
      <x:c r="D81" s="28"/>
      <x:c r="E81" s="28"/>
      <x:c r="F81" s="28"/>
      <x:c r="G81" s="32"/>
      <x:c r="H81" s="32"/>
      <x:c r="I81" s="32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</x:row>
    <x:row r="82">
      <x:c r="A82" s="28"/>
      <x:c r="B82" s="28"/>
      <x:c r="C82" s="28"/>
      <x:c r="D82" s="28"/>
      <x:c r="E82" s="28"/>
      <x:c r="F82" s="28"/>
      <x:c r="G82" s="32"/>
      <x:c r="H82" s="32"/>
      <x:c r="I82" s="32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</x:row>
    <x:row r="83">
      <x:c r="A83" s="28"/>
      <x:c r="B83" s="28"/>
      <x:c r="C83" s="28"/>
      <x:c r="D83" s="28"/>
      <x:c r="E83" s="28"/>
      <x:c r="F83" s="28"/>
      <x:c r="G83" s="32"/>
      <x:c r="H83" s="32"/>
      <x:c r="I83" s="32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</x:row>
    <x:row r="84">
      <x:c r="A84" s="28"/>
      <x:c r="B84" s="28"/>
      <x:c r="C84" s="28"/>
      <x:c r="D84" s="28"/>
      <x:c r="E84" s="28"/>
      <x:c r="F84" s="28"/>
      <x:c r="G84" s="32"/>
      <x:c r="H84" s="32"/>
      <x:c r="I84" s="32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</x:row>
    <x:row r="85">
      <x:c r="A85" s="28"/>
      <x:c r="B85" s="28"/>
      <x:c r="C85" s="28"/>
      <x:c r="D85" s="28"/>
      <x:c r="E85" s="28"/>
      <x:c r="F85" s="28"/>
      <x:c r="G85" s="32"/>
      <x:c r="H85" s="32"/>
      <x:c r="I85" s="32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</x:row>
    <x:row r="86">
      <x:c r="A86" s="28"/>
      <x:c r="B86" s="28"/>
      <x:c r="C86" s="28"/>
      <x:c r="D86" s="28"/>
      <x:c r="E86" s="28"/>
      <x:c r="F86" s="28"/>
      <x:c r="G86" s="32"/>
      <x:c r="H86" s="32"/>
      <x:c r="I86" s="32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</x:row>
    <x:row r="87">
      <x:c r="A87" s="28"/>
      <x:c r="B87" s="28"/>
      <x:c r="C87" s="28"/>
      <x:c r="D87" s="28"/>
      <x:c r="E87" s="28"/>
      <x:c r="F87" s="28"/>
      <x:c r="G87" s="32"/>
      <x:c r="H87" s="32"/>
      <x:c r="I87" s="32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</x:row>
    <x:row r="88">
      <x:c r="A88" s="28"/>
      <x:c r="B88" s="28"/>
      <x:c r="C88" s="28"/>
      <x:c r="D88" s="28"/>
      <x:c r="E88" s="28"/>
      <x:c r="F88" s="28"/>
      <x:c r="G88" s="32"/>
      <x:c r="H88" s="32"/>
      <x:c r="I88" s="32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</x:row>
    <x:row r="89">
      <x:c r="A89" s="28"/>
      <x:c r="B89" s="28"/>
      <x:c r="C89" s="28"/>
      <x:c r="D89" s="28"/>
      <x:c r="E89" s="28"/>
      <x:c r="F89" s="28"/>
      <x:c r="G89" s="32"/>
      <x:c r="H89" s="32"/>
      <x:c r="I89" s="32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</x:row>
    <x:row r="90">
      <x:c r="A90" s="28"/>
      <x:c r="B90" s="28"/>
      <x:c r="C90" s="28"/>
      <x:c r="D90" s="28"/>
      <x:c r="E90" s="28"/>
      <x:c r="F90" s="28"/>
      <x:c r="G90" s="32"/>
      <x:c r="H90" s="32"/>
      <x:c r="I90" s="32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</x:row>
    <x:row r="91">
      <x:c r="A91" s="28"/>
      <x:c r="B91" s="28"/>
      <x:c r="C91" s="28"/>
      <x:c r="D91" s="28"/>
      <x:c r="E91" s="28"/>
      <x:c r="F91" s="28"/>
      <x:c r="G91" s="32"/>
      <x:c r="H91" s="32"/>
      <x:c r="I91" s="32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</x:row>
    <x:row r="92">
      <x:c r="A92" s="28"/>
      <x:c r="B92" s="28"/>
      <x:c r="C92" s="28"/>
      <x:c r="D92" s="28"/>
      <x:c r="E92" s="28"/>
      <x:c r="F92" s="28"/>
      <x:c r="G92" s="32"/>
      <x:c r="H92" s="32"/>
      <x:c r="I92" s="32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</x:row>
    <x:row r="93">
      <x:c r="A93" s="28"/>
      <x:c r="B93" s="28"/>
      <x:c r="C93" s="28"/>
      <x:c r="D93" s="28"/>
      <x:c r="E93" s="28"/>
      <x:c r="F93" s="28"/>
      <x:c r="G93" s="32"/>
      <x:c r="H93" s="32"/>
      <x:c r="I93" s="32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</x:row>
    <x:row r="94">
      <x:c r="A94" s="28"/>
      <x:c r="B94" s="28"/>
      <x:c r="C94" s="28"/>
      <x:c r="D94" s="28"/>
      <x:c r="E94" s="28"/>
      <x:c r="F94" s="28"/>
      <x:c r="G94" s="32"/>
      <x:c r="H94" s="32"/>
      <x:c r="I94" s="32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</x:row>
    <x:row r="95">
      <x:c r="A95" s="28"/>
      <x:c r="B95" s="28"/>
      <x:c r="C95" s="28"/>
      <x:c r="D95" s="28"/>
      <x:c r="E95" s="28"/>
      <x:c r="F95" s="28"/>
      <x:c r="G95" s="32"/>
      <x:c r="H95" s="32"/>
      <x:c r="I95" s="32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</x:row>
    <x:row r="96">
      <x:c r="A96" s="28"/>
      <x:c r="B96" s="28"/>
      <x:c r="C96" s="28"/>
      <x:c r="D96" s="28"/>
      <x:c r="E96" s="28"/>
      <x:c r="F96" s="28"/>
      <x:c r="G96" s="32"/>
      <x:c r="H96" s="32"/>
      <x:c r="I96" s="32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</x:row>
    <x:row r="97">
      <x:c r="A97" s="28"/>
      <x:c r="B97" s="28"/>
      <x:c r="C97" s="28"/>
      <x:c r="D97" s="28"/>
      <x:c r="E97" s="28"/>
      <x:c r="F97" s="28"/>
      <x:c r="G97" s="32"/>
      <x:c r="H97" s="32"/>
      <x:c r="I97" s="32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</x:row>
    <x:row r="98">
      <x:c r="A98" s="28"/>
      <x:c r="B98" s="28"/>
      <x:c r="C98" s="28"/>
      <x:c r="D98" s="28"/>
      <x:c r="E98" s="28"/>
      <x:c r="F98" s="28"/>
      <x:c r="G98" s="32"/>
      <x:c r="H98" s="32"/>
      <x:c r="I98" s="32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</x:row>
    <x:row r="99">
      <x:c r="A99" s="28"/>
      <x:c r="B99" s="28"/>
      <x:c r="C99" s="28"/>
      <x:c r="D99" s="28"/>
      <x:c r="E99" s="28"/>
      <x:c r="F99" s="28"/>
      <x:c r="G99" s="32"/>
      <x:c r="H99" s="32"/>
      <x:c r="I99" s="32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</x:row>
    <x:row r="100">
      <x:c r="A100" s="28"/>
      <x:c r="B100" s="28"/>
      <x:c r="C100" s="28"/>
      <x:c r="D100" s="28"/>
      <x:c r="E100" s="28"/>
      <x:c r="F100" s="28"/>
      <x:c r="G100" s="32"/>
      <x:c r="H100" s="32"/>
      <x:c r="I100" s="32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</x:row>
  </x:sheetData>
  <x:conditionalFormatting sqref="N2:N100">
    <x:cfRule type="expression" dxfId="6" priority="1">
      <x:formula>N2="USABLE"</x:formula>
    </x:cfRule>
    <x:cfRule type="expression" dxfId="7" priority="2">
      <x:formula>N2="INCOMPLETE"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0c8cf195e146c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28" hidden="0" customWidth="1"/>
    <x:col min="4" max="4" width="42" hidden="0" customWidth="1"/>
    <x:col min="5" max="5" width="34" hidden="0" customWidth="1"/>
    <x:col min="6" max="6" width="20" hidden="0" customWidth="1"/>
  </x:cols>
  <x:sheetData>
    <x:row r="1">
      <x:c r="A1" s="6" t="str">
        <x:v>Hypothesis</x:v>
      </x:c>
      <x:c r="B1" s="6" t="str">
        <x:v>Result</x:v>
      </x:c>
      <x:c r="C1" s="6" t="str">
        <x:v>Evidence Interview IDs</x:v>
      </x:c>
      <x:c r="D1" s="6" t="str">
        <x:v>Evidence Summary</x:v>
      </x:c>
      <x:c r="E1" s="6" t="str">
        <x:v>Decision</x:v>
      </x:c>
      <x:c r="F1" s="6" t="str">
        <x:v>Follow-up Issue</x:v>
      </x:c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</x:row>
    <x:row r="2">
      <x:c r="A2" s="28" t="str">
        <x:v>Review time is the dominant adoption metric</x:v>
      </x:c>
      <x:c r="B2" s="28" t="str">
        <x:v>Unknown</x:v>
      </x:c>
      <x:c r="C2" s="28" t="str"/>
      <x:c r="D2" s="28" t="str"/>
      <x:c r="E2" s="28" t="str"/>
      <x:c r="F2" s="28" t="str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</x:row>
    <x:row r="3">
      <x:c r="A3" s="28" t="str">
        <x:v>Reviewed generic export creates value before direct posting</x:v>
      </x:c>
      <x:c r="B3" s="28" t="str">
        <x:v>Unknown</x:v>
      </x:c>
      <x:c r="C3" s="28" t="str"/>
      <x:c r="D3" s="28" t="str"/>
      <x:c r="E3" s="28" t="str"/>
      <x:c r="F3" s="28" t="str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</x:row>
    <x:row r="4">
      <x:c r="A4" s="28" t="str">
        <x:v>Arithmetic/evidence warnings improve operator trust</x:v>
      </x:c>
      <x:c r="B4" s="28" t="str">
        <x:v>Unknown</x:v>
      </x:c>
      <x:c r="C4" s="28" t="str"/>
      <x:c r="D4" s="28" t="str"/>
      <x:c r="E4" s="28" t="str"/>
      <x:c r="F4" s="28" t="str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</x:row>
    <x:row r="5">
      <x:c r="A5" s="28" t="str">
        <x:v>First paid expansion will be one region/ERP capability</x:v>
      </x:c>
      <x:c r="B5" s="28" t="str">
        <x:v>Unknown</x:v>
      </x:c>
      <x:c r="C5" s="28" t="str"/>
      <x:c r="D5" s="28" t="str"/>
      <x:c r="E5" s="28" t="str"/>
      <x:c r="F5" s="28" t="str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</x:row>
    <x:row r="6">
      <x:c r="A6" s="28" t="str">
        <x:v>Short explicit retention is acceptable</x:v>
      </x:c>
      <x:c r="B6" s="28" t="str">
        <x:v>Unknown</x:v>
      </x:c>
      <x:c r="C6" s="28" t="str"/>
      <x:c r="D6" s="28" t="str"/>
      <x:c r="E6" s="28" t="str"/>
      <x:c r="F6" s="28" t="str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</x:row>
  </x:sheetData>
  <x:dataValidations count="1">
    <x:dataValidation type="list" sqref="B2:B100">
      <x:formula1>"Confirmed,Rejected,Mixed,Unknown"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dd11051b12442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4" hidden="0" customWidth="1"/>
    <x:col min="4" max="4" width="28" hidden="0" customWidth="1"/>
    <x:col min="5" max="5" width="18" hidden="0" customWidth="1"/>
    <x:col min="6" max="6" width="14" hidden="0" customWidth="1"/>
    <x:col min="7" max="7" width="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34" t="str">
        <x:v>M0-01 Operator Research Dashboard</x:v>
      </x:c>
      <x:c r="B1" s="34"/>
      <x:c r="C1" s="34"/>
      <x:c r="D1" s="34"/>
      <x:c r="E1" s="34"/>
      <x:c r="F1" s="34"/>
      <x:c r="G1" s="34"/>
      <x:c r="H1" s="34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</x:row>
    <x:row r="2">
      <x:c r="A2" s="24" t="str">
        <x:v>Close only after 5 qualifying interviews have usable baseline minutes and error categories. Prefer at least 2 observed workflows and 3 organizations.</x:v>
      </x:c>
      <x:c r="B2" s="24"/>
      <x:c r="C2" s="24"/>
      <x:c r="D2" s="24"/>
      <x:c r="E2" s="24"/>
      <x:c r="F2" s="24"/>
      <x:c r="G2" s="24"/>
      <x:c r="H2" s="24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</x:row>
    <x:row r="4">
      <x:c r="A4" s="6" t="str">
        <x:v>Acceptance Signal</x:v>
      </x:c>
      <x:c r="B4" s="6" t="str">
        <x:v>Current</x:v>
      </x:c>
      <x:c r="C4" s="28"/>
      <x:c r="D4" s="6" t="str">
        <x:v>Completion Gate</x:v>
      </x:c>
      <x:c r="E4" s="6" t="str">
        <x:v>Target</x:v>
      </x:c>
      <x:c r="F4" s="6" t="str">
        <x:v>Status</x:v>
      </x:c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</x:row>
    <x:row r="5">
      <x:c r="A5" s="28" t="str">
        <x:v>Candidates contacted</x:v>
      </x:c>
      <x:c r="B5" s="28" t="n">
        <x:f>COUNTIF(Candidates!$J$2:$J$100,"Contacted")+COUNTIF(Candidates!$J$2:$J$100,"Replied")+COUNTIF(Candidates!$J$2:$J$100,"Screened")+COUNTIF(Candidates!$J$2:$J$100,"Scheduled")+COUNTIF(Candidates!$J$2:$J$100,"Completed")</x:f>
        <x:v>0</x:v>
      </x:c>
      <x:c r="C5" s="28"/>
      <x:c r="D5" s="28" t="str">
        <x:v>Completed interviews</x:v>
      </x:c>
      <x:c r="E5" s="28" t="n">
        <x:v>5</x:v>
      </x:c>
      <x:c r="F5" s="28" t="str">
        <x:f>IF(B6&gt;=E5,"PASS","OPEN")</x:f>
        <x:v>OPEN</x:v>
      </x:c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</x:row>
    <x:row r="6">
      <x:c r="A6" s="28" t="str">
        <x:v>Interviews completed</x:v>
      </x:c>
      <x:c r="B6" s="28" t="n">
        <x:f>COUNTIF(Interviews!$G$2:$G$100,"Yes")</x:f>
        <x:v>0</x:v>
      </x:c>
      <x:c r="C6" s="28"/>
      <x:c r="D6" s="28" t="str">
        <x:v>Usable interview baselines</x:v>
      </x:c>
      <x:c r="E6" s="28" t="n">
        <x:v>5</x:v>
      </x:c>
      <x:c r="F6" s="28" t="str">
        <x:f>IF(B8&gt;=E6,"PASS","OPEN")</x:f>
        <x:v>OPEN</x:v>
      </x:c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</x:row>
    <x:row r="7">
      <x:c r="A7" s="28" t="str">
        <x:v>Organizations represented</x:v>
      </x:c>
      <x:c r="B7" s="28" t="n">
        <x:f>SUM(Interviews!$U$2:$U$100)</x:f>
        <x:v>0</x:v>
      </x:c>
      <x:c r="C7" s="28"/>
      <x:c r="D7" s="28" t="str">
        <x:v>Organizations represented</x:v>
      </x:c>
      <x:c r="E7" s="28" t="n">
        <x:v>3</x:v>
      </x:c>
      <x:c r="F7" s="28" t="str">
        <x:f>IF(B7&gt;=E7,"PASS","OPEN")</x:f>
        <x:v>OPEN</x:v>
      </x:c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</x:row>
    <x:row r="8">
      <x:c r="A8" s="28" t="str">
        <x:v>Usable interview baselines</x:v>
      </x:c>
      <x:c r="B8" s="28" t="n">
        <x:f>COUNTIF('Interview Baseline'!$N$2:$N$100,"USABLE")</x:f>
        <x:v>0</x:v>
      </x:c>
      <x:c r="C8" s="28"/>
      <x:c r="D8" s="28" t="str">
        <x:v>Observed workflows</x:v>
      </x:c>
      <x:c r="E8" s="28" t="n">
        <x:v>2</x:v>
      </x:c>
      <x:c r="F8" s="28" t="str">
        <x:f>IF(B9&gt;=E8,"PASS","OPEN")</x:f>
        <x:v>OPEN</x:v>
      </x:c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</x:row>
    <x:row r="9">
      <x:c r="A9" s="28" t="str">
        <x:v>Observed workflows</x:v>
      </x:c>
      <x:c r="B9" s="28" t="n">
        <x:f>COUNTIFS(Observations!$D$2:$D$100,"OBSERVED",Observations!$S$2:$S$100,"Yes")</x:f>
        <x:v>0</x:v>
      </x:c>
      <x:c r="C9" s="28"/>
      <x:c r="D9" s="28" t="str">
        <x:v>Interviews with error categories</x:v>
      </x:c>
      <x:c r="E9" s="28" t="n">
        <x:v>5</x:v>
      </x:c>
      <x:c r="F9" s="28" t="str">
        <x:f>IF(COUNTIF('Interview Baseline'!$J$2:$J$100,"&gt;0")&gt;=E9,"PASS","OPEN")</x:f>
        <x:v>OPEN</x:v>
      </x:c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</x:row>
    <x:row r="10">
      <x:c r="A10" s="28" t="str">
        <x:v>Documents timed</x:v>
      </x:c>
      <x:c r="B10" s="28" t="n">
        <x:f>SUMIF(Observations!$S$2:$S$100,"Yes",Observations!$F$2:$F$100)</x:f>
        <x:v>0</x:v>
      </x:c>
      <x:c r="C10" s="28"/>
      <x:c r="D10" s="28" t="str">
        <x:v>Primary-doc updates drafted</x:v>
      </x:c>
      <x:c r="E10" s="28" t="str">
        <x:v>Manual</x:v>
      </x:c>
      <x:c r="F10" s="28" t="str">
        <x:v>PENDING</x:v>
      </x:c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</x:row>
    <x:row r="11">
      <x:c r="A11" s="28" t="str">
        <x:v>Error events recorded</x:v>
      </x:c>
      <x:c r="B11" s="28" t="n">
        <x:f>COUNTIF(Errors!$B$2:$B$500,"&lt;&gt;")</x:f>
        <x:v>0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</x:row>
    <x:row r="12">
      <x:c r="A12" s="28" t="str">
        <x:v>Reviewed export useful — Yes</x:v>
      </x:c>
      <x:c r="B12" s="28" t="n">
        <x:f>COUNTIFS(Interviews!$G$2:$G$100,"Yes",Interviews!$O$2:$O$100,"Yes")</x:f>
        <x:v>0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</x:row>
    <x:row r="13">
      <x:c r="A13" s="28" t="str">
        <x:v>Pilot willingness — Yes</x:v>
      </x:c>
      <x:c r="B13" s="28" t="n">
        <x:f>COUNTIFS(Interviews!$G$2:$G$100,"Yes",Interviews!$P$2:$P$100,"Yes")</x:f>
        <x:v>0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</x:row>
    <x:row r="16">
      <x:c r="A16" s="6" t="str">
        <x:v>Baseline Metric</x:v>
      </x:c>
      <x:c r="B16" s="6" t="str">
        <x:v>Value</x:v>
      </x:c>
      <x:c r="C16" s="28"/>
      <x:c r="D16" s="6" t="str">
        <x:v>Workflow Stage</x:v>
      </x:c>
      <x:c r="E16" s="6" t="str">
        <x:v>Active Minutes</x:v>
      </x:c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</x:row>
    <x:row r="17">
      <x:c r="A17" s="28" t="str">
        <x:v>Average touch min/doc</x:v>
      </x:c>
      <x:c r="B17" s="32" t="n">
        <x:f>IFERROR(AVERAGEIF(Observations!$S$2:$S$100,"Yes",Observations!$P$2:$P$100),0)</x:f>
        <x:v>0</x:v>
      </x:c>
      <x:c r="C17" s="28"/>
      <x:c r="D17" s="28" t="str">
        <x:v>INTAKE</x:v>
      </x:c>
      <x:c r="E17" s="32" t="n">
        <x:f>SUMIF('Stage Timing'!$E$2:$E$500,D17,'Stage Timing'!$G$2:$G$500)/60</x:f>
        <x:v>0</x:v>
      </x:c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</x:row>
    <x:row r="18">
      <x:c r="A18" s="28" t="str">
        <x:v>Average rework min/doc</x:v>
      </x:c>
      <x:c r="B18" s="32" t="n">
        <x:f>IFERROR(AVERAGEIF(Observations!$S$2:$S$100,"Yes",Observations!$Q$2:$Q$100),0)</x:f>
        <x:v>0</x:v>
      </x:c>
      <x:c r="C18" s="28"/>
      <x:c r="D18" s="28" t="str">
        <x:v>PREP</x:v>
      </x:c>
      <x:c r="E18" s="32" t="n">
        <x:f>SUMIF('Stage Timing'!$E$2:$E$500,D18,'Stage Timing'!$G$2:$G$500)/60</x:f>
        <x:v>0</x:v>
      </x:c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</x:row>
    <x:row r="19">
      <x:c r="A19" s="28" t="str">
        <x:v>Average docs/operator hour</x:v>
      </x:c>
      <x:c r="B19" s="32" t="n">
        <x:f>IFERROR(AVERAGEIF(Observations!$S$2:$S$100,"Yes",Observations!$R$2:$R$100),0)</x:f>
        <x:v>0</x:v>
      </x:c>
      <x:c r="C19" s="28"/>
      <x:c r="D19" s="28" t="str">
        <x:v>CLASSIFY</x:v>
      </x:c>
      <x:c r="E19" s="32" t="n">
        <x:f>SUMIF('Stage Timing'!$E$2:$E$500,D19,'Stage Timing'!$G$2:$G$500)/60</x:f>
        <x:v>0</x:v>
      </x:c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</x:row>
    <x:row r="20">
      <x:c r="A20" s="28" t="str">
        <x:v>Critical/high events</x:v>
      </x:c>
      <x:c r="B20" s="28" t="n">
        <x:f>COUNTIF(Errors!$G$2:$G$500,"CRITICAL")+COUNTIF(Errors!$G$2:$G$500,"HIGH")</x:f>
        <x:v>0</x:v>
      </x:c>
      <x:c r="C20" s="28"/>
      <x:c r="D20" s="28" t="str">
        <x:v>READ_HEADER</x:v>
      </x:c>
      <x:c r="E20" s="32" t="n">
        <x:f>SUMIF('Stage Timing'!$E$2:$E$500,D20,'Stage Timing'!$G$2:$G$500)/60</x:f>
        <x:v>0</x:v>
      </x:c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</x:row>
    <x:row r="21">
      <x:c r="A21" s="28"/>
      <x:c r="B21" s="28"/>
      <x:c r="C21" s="28"/>
      <x:c r="D21" s="28" t="str">
        <x:v>READ_LINES</x:v>
      </x:c>
      <x:c r="E21" s="32" t="n">
        <x:f>SUMIF('Stage Timing'!$E$2:$E$500,D21,'Stage Timing'!$G$2:$G$500)/60</x:f>
        <x:v>0</x:v>
      </x:c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</x:row>
    <x:row r="22">
      <x:c r="A22" s="28"/>
      <x:c r="B22" s="28"/>
      <x:c r="C22" s="28"/>
      <x:c r="D22" s="28" t="str">
        <x:v>LOOKUP</x:v>
      </x:c>
      <x:c r="E22" s="32" t="n">
        <x:f>SUMIF('Stage Timing'!$E$2:$E$500,D22,'Stage Timing'!$G$2:$G$500)/60</x:f>
        <x:v>0</x:v>
      </x:c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</x:row>
    <x:row r="23">
      <x:c r="A23" s="28"/>
      <x:c r="B23" s="28"/>
      <x:c r="C23" s="28"/>
      <x:c r="D23" s="28" t="str">
        <x:v>VALIDATE</x:v>
      </x:c>
      <x:c r="E23" s="32" t="n">
        <x:f>SUMIF('Stage Timing'!$E$2:$E$500,D23,'Stage Timing'!$G$2:$G$500)/60</x:f>
        <x:v>0</x:v>
      </x:c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</x:row>
    <x:row r="24">
      <x:c r="A24" s="28"/>
      <x:c r="B24" s="28"/>
      <x:c r="C24" s="28"/>
      <x:c r="D24" s="28" t="str">
        <x:v>CODE</x:v>
      </x:c>
      <x:c r="E24" s="32" t="n">
        <x:f>SUMIF('Stage Timing'!$E$2:$E$500,D24,'Stage Timing'!$G$2:$G$500)/60</x:f>
        <x:v>0</x:v>
      </x:c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</x:row>
    <x:row r="25">
      <x:c r="A25" s="28"/>
      <x:c r="B25" s="28"/>
      <x:c r="C25" s="28"/>
      <x:c r="D25" s="28" t="str">
        <x:v>ENTER</x:v>
      </x:c>
      <x:c r="E25" s="32" t="n">
        <x:f>SUMIF('Stage Timing'!$E$2:$E$500,D25,'Stage Timing'!$G$2:$G$500)/60</x:f>
        <x:v>0</x:v>
      </x:c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</x:row>
    <x:row r="26">
      <x:c r="A26" s="28"/>
      <x:c r="B26" s="28"/>
      <x:c r="C26" s="28"/>
      <x:c r="D26" s="28" t="str">
        <x:v>PREP_EXPORT</x:v>
      </x:c>
      <x:c r="E26" s="32" t="n">
        <x:f>SUMIF('Stage Timing'!$E$2:$E$500,D26,'Stage Timing'!$G$2:$G$500)/60</x:f>
        <x:v>0</x:v>
      </x:c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</x:row>
    <x:row r="27">
      <x:c r="A27" s="28"/>
      <x:c r="B27" s="28"/>
      <x:c r="C27" s="28"/>
      <x:c r="D27" s="28" t="str">
        <x:v>IMPORT</x:v>
      </x:c>
      <x:c r="E27" s="32" t="n">
        <x:f>SUMIF('Stage Timing'!$E$2:$E$500,D27,'Stage Timing'!$G$2:$G$500)/60</x:f>
        <x:v>0</x:v>
      </x:c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</x:row>
    <x:row r="28">
      <x:c r="A28" s="28"/>
      <x:c r="B28" s="28"/>
      <x:c r="C28" s="28"/>
      <x:c r="D28" s="28" t="str">
        <x:v>REVIEW</x:v>
      </x:c>
      <x:c r="E28" s="32" t="n">
        <x:f>SUMIF('Stage Timing'!$E$2:$E$500,D28,'Stage Timing'!$G$2:$G$500)/60</x:f>
        <x:v>0</x:v>
      </x:c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</x:row>
    <x:row r="29">
      <x:c r="A29" s="28"/>
      <x:c r="B29" s="28"/>
      <x:c r="C29" s="28"/>
      <x:c r="D29" s="28" t="str">
        <x:v>CLARIFY</x:v>
      </x:c>
      <x:c r="E29" s="32" t="n">
        <x:f>SUMIF('Stage Timing'!$E$2:$E$500,D29,'Stage Timing'!$G$2:$G$500)/60</x:f>
        <x:v>0</x:v>
      </x:c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</x:row>
    <x:row r="30">
      <x:c r="A30" s="28"/>
      <x:c r="B30" s="28"/>
      <x:c r="C30" s="28"/>
      <x:c r="D30" s="28" t="str">
        <x:v>ARCHIVE</x:v>
      </x:c>
      <x:c r="E30" s="32" t="n">
        <x:f>SUMIF('Stage Timing'!$E$2:$E$500,D30,'Stage Timing'!$G$2:$G$500)/60</x:f>
        <x:v>0</x:v>
      </x:c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</x:row>
    <x:row r="31">
      <x:c r="A31" s="28"/>
      <x:c r="B31" s="28"/>
      <x:c r="C31" s="28"/>
      <x:c r="D31" s="28" t="str">
        <x:v>REWORK</x:v>
      </x:c>
      <x:c r="E31" s="32" t="n">
        <x:f>SUMIF('Stage Timing'!$E$2:$E$500,D31,'Stage Timing'!$G$2:$G$500)/60</x:f>
        <x:v>0</x:v>
      </x:c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</x:row>
    <x:row r="32">
      <x:c r="A32" s="28"/>
      <x:c r="B32" s="28"/>
      <x:c r="C32" s="28"/>
      <x:c r="D32" s="28" t="str">
        <x:v>OTHER</x:v>
      </x:c>
      <x:c r="E32" s="32" t="n">
        <x:f>SUMIF('Stage Timing'!$E$2:$E$500,D32,'Stage Timing'!$G$2:$G$500)/60</x:f>
        <x:v>0</x:v>
      </x:c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</x:row>
  </x:sheetData>
  <x:mergeCells>
    <x:mergeCell ref="A1:H1"/>
    <x:mergeCell ref="A2:H2"/>
  </x:mergeCells>
  <x:conditionalFormatting sqref="F5:F10">
    <x:cfRule type="expression" dxfId="8" priority="1">
      <x:formula>F5="PASS"</x:formula>
    </x:cfRule>
    <x:cfRule type="expression" dxfId="9" priority="2">
      <x:formula>F5="OPEN"</x:formula>
    </x:cfRule>
  </x:conditionalFormatting>
  <x:dataValidations count="1">
    <x:dataValidation type="list" sqref="F10">
      <x:formula1>"PENDING,PASS"</x:formula1>
    </x:dataValidation>
  </x:dataValidations>
  <x:pageMargins left="0.7" right="0.7" top="0.75" bottom="0.75" header="0.3" footer="0.3"/>
  <x:drawing xmlns:r="http://schemas.openxmlformats.org/officeDocument/2006/relationships" r:id="Rd1b19aec06694485"/>
</x:worksheet>
</file>